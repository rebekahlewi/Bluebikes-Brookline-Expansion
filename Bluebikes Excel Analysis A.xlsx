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coleman/Downloads/"/>
    </mc:Choice>
  </mc:AlternateContent>
  <xr:revisionPtr revIDLastSave="0" documentId="13_ncr:1_{E5E9FE5E-7EC4-0140-94AC-6FBACB6E1679}" xr6:coauthVersionLast="47" xr6:coauthVersionMax="47" xr10:uidLastSave="{00000000-0000-0000-0000-000000000000}"/>
  <bookViews>
    <workbookView xWindow="7140" yWindow="760" windowWidth="13400" windowHeight="16660" activeTab="7" xr2:uid="{47B4965E-E3E1-48F4-91C3-742569886418}"/>
  </bookViews>
  <sheets>
    <sheet name="Regression 1" sheetId="10" r:id="rId1"/>
    <sheet name="Regression 2" sheetId="4" r:id="rId2"/>
    <sheet name="Regression 3" sheetId="5" r:id="rId3"/>
    <sheet name="Regression 4" sheetId="6" r:id="rId4"/>
    <sheet name="Regression 5" sheetId="7" r:id="rId5"/>
    <sheet name="Regression 6!" sheetId="8" r:id="rId6"/>
    <sheet name="Summary Statistics" sheetId="9" r:id="rId7"/>
    <sheet name="More Summary Statistics" sheetId="12" r:id="rId8"/>
    <sheet name="trips_multi_regression_post2" sheetId="1" r:id="rId9"/>
    <sheet name="variable descriptions" sheetId="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" i="1" l="1"/>
  <c r="BM2" i="1"/>
  <c r="BM118" i="1" s="1"/>
  <c r="D118" i="1"/>
  <c r="E118" i="1"/>
  <c r="F118" i="1"/>
  <c r="G118" i="1"/>
  <c r="H118" i="1"/>
  <c r="I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C118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</calcChain>
</file>

<file path=xl/sharedStrings.xml><?xml version="1.0" encoding="utf-8"?>
<sst xmlns="http://schemas.openxmlformats.org/spreadsheetml/2006/main" count="795" uniqueCount="307">
  <si>
    <t>start_station_name</t>
  </si>
  <si>
    <t>trips</t>
  </si>
  <si>
    <t>latitude</t>
  </si>
  <si>
    <t>longitude</t>
  </si>
  <si>
    <t>area_acres</t>
  </si>
  <si>
    <t>housing20</t>
  </si>
  <si>
    <t>popperacre</t>
  </si>
  <si>
    <t>Census_Tract</t>
  </si>
  <si>
    <t>region</t>
  </si>
  <si>
    <t>ClosestMBTA</t>
  </si>
  <si>
    <t>ClostestMBTAline</t>
  </si>
  <si>
    <t>closest_mbta_dist</t>
  </si>
  <si>
    <t>num_qtrmi</t>
  </si>
  <si>
    <t>Workers16yearsandover</t>
  </si>
  <si>
    <t>cartruck</t>
  </si>
  <si>
    <t>drovealone</t>
  </si>
  <si>
    <t>carpooled</t>
  </si>
  <si>
    <t>publictrans</t>
  </si>
  <si>
    <t>walked</t>
  </si>
  <si>
    <t>bicycle</t>
  </si>
  <si>
    <t>taxicabmotorcycleorother</t>
  </si>
  <si>
    <t>workedfromhome</t>
  </si>
  <si>
    <t>Lessthan10minutes</t>
  </si>
  <si>
    <t>Travel10to14_minutes</t>
  </si>
  <si>
    <t>Travel15to19_minutes</t>
  </si>
  <si>
    <t>Travel20to24_minutes</t>
  </si>
  <si>
    <t>Travel25to29_minutes</t>
  </si>
  <si>
    <t>Travel30to34_minutes</t>
  </si>
  <si>
    <t>Travel35to44_minutes</t>
  </si>
  <si>
    <t>Travel45to59_minutes</t>
  </si>
  <si>
    <t>Travel60_or_more_minutes</t>
  </si>
  <si>
    <t>Meantraveltimetoworkminute</t>
  </si>
  <si>
    <t>Total_population</t>
  </si>
  <si>
    <t>AGE_Under5years</t>
  </si>
  <si>
    <t>AGE_5to9years</t>
  </si>
  <si>
    <t>AGE_10to14years</t>
  </si>
  <si>
    <t>AGE_15to19years</t>
  </si>
  <si>
    <t>AGE_20to24years</t>
  </si>
  <si>
    <t>AGE_25to29years</t>
  </si>
  <si>
    <t>AGE_30to34years</t>
  </si>
  <si>
    <t>AGE_35to39years</t>
  </si>
  <si>
    <t>AGE_40to44years</t>
  </si>
  <si>
    <t>AGE_45to49years</t>
  </si>
  <si>
    <t>AGE_50to54years</t>
  </si>
  <si>
    <t>AGE_55to59years</t>
  </si>
  <si>
    <t>AGE_60to64years</t>
  </si>
  <si>
    <t>AGE_65to69years</t>
  </si>
  <si>
    <t>AGE_70to74years</t>
  </si>
  <si>
    <t>AGE_75to79years</t>
  </si>
  <si>
    <t>AGE_80to84years</t>
  </si>
  <si>
    <t>AGE_85yearsandover</t>
  </si>
  <si>
    <t>Median_age</t>
  </si>
  <si>
    <t>Sex_ratio</t>
  </si>
  <si>
    <t>distance_common</t>
  </si>
  <si>
    <t>distance_longwood</t>
  </si>
  <si>
    <t>boston</t>
  </si>
  <si>
    <t>newton</t>
  </si>
  <si>
    <t>count_stations_qtr</t>
  </si>
  <si>
    <t>count_stations_halfmi</t>
  </si>
  <si>
    <t>trips_nearby_qtr</t>
  </si>
  <si>
    <t>trips_nearby_halfmi</t>
  </si>
  <si>
    <t>1200 Beacon St</t>
  </si>
  <si>
    <t>Kent Street</t>
  </si>
  <si>
    <t>Green Line (C)</t>
  </si>
  <si>
    <t>175 N Harvard St</t>
  </si>
  <si>
    <t>Packards Corner</t>
  </si>
  <si>
    <t>Green Line (B)</t>
  </si>
  <si>
    <t>2 Hummingbird Lane at Olmsted Green</t>
  </si>
  <si>
    <t xml:space="preserve">Forest Hills </t>
  </si>
  <si>
    <t>Orange Line</t>
  </si>
  <si>
    <t>39 Brighton Ave</t>
  </si>
  <si>
    <t>606 American Legion Hwy at Canterbury St</t>
  </si>
  <si>
    <t>Archdale Rd at Washington St</t>
  </si>
  <si>
    <t>Auburndale</t>
  </si>
  <si>
    <t xml:space="preserve">Riverside </t>
  </si>
  <si>
    <t>Green Line (D)</t>
  </si>
  <si>
    <t>B.U. Central - 725 Comm. Ave.</t>
  </si>
  <si>
    <t>Boston University Central</t>
  </si>
  <si>
    <t>Bacon St at Washington St</t>
  </si>
  <si>
    <t xml:space="preserve">Boston College </t>
  </si>
  <si>
    <t>Beacon St at Tappan St</t>
  </si>
  <si>
    <t>Tappan Street</t>
  </si>
  <si>
    <t>Beacon at Walnut</t>
  </si>
  <si>
    <t>Newton Highlands</t>
  </si>
  <si>
    <t>Belgrade Ave at Walworth St</t>
  </si>
  <si>
    <t>Bellevue T Stop</t>
  </si>
  <si>
    <t>Boston College T</t>
  </si>
  <si>
    <t>Boston Landing</t>
  </si>
  <si>
    <t>Allston Street</t>
  </si>
  <si>
    <t>Boylston St at Jersey St</t>
  </si>
  <si>
    <t xml:space="preserve">Kenmore </t>
  </si>
  <si>
    <t>Green Line (B, C, D)</t>
  </si>
  <si>
    <t>Brigham Circle - Francis St at Huntington Ave</t>
  </si>
  <si>
    <t>Brigham Circle</t>
  </si>
  <si>
    <t>Green Line (E)</t>
  </si>
  <si>
    <t>Brighton Ave at Linden St</t>
  </si>
  <si>
    <t>Harvard Avenue</t>
  </si>
  <si>
    <t>Brighton Center - Washington St at Cambridge St</t>
  </si>
  <si>
    <t>Chiswick Road</t>
  </si>
  <si>
    <t>Brighton Mills - 370 Western Ave</t>
  </si>
  <si>
    <t>Brookline Town Hall</t>
  </si>
  <si>
    <t>Brookline Village</t>
  </si>
  <si>
    <t>Brookline Village - Station Street at MBTA</t>
  </si>
  <si>
    <t>Burlington Ave at Brookline Ave</t>
  </si>
  <si>
    <t>Fenway</t>
  </si>
  <si>
    <t>California at Chapel</t>
  </si>
  <si>
    <t>Centre St at Allandale St</t>
  </si>
  <si>
    <t>Centre St at Commonwealth Ave</t>
  </si>
  <si>
    <t>Newton Centre</t>
  </si>
  <si>
    <t>Centre St at Parkway YMCA</t>
  </si>
  <si>
    <t>Centre St at Seaverns Ave</t>
  </si>
  <si>
    <t>Green Street</t>
  </si>
  <si>
    <t>Centre St at W. Roxbury Post Office</t>
  </si>
  <si>
    <t>Centre St at Washington St</t>
  </si>
  <si>
    <t>Chestnut Hill Ave at Ledgemere Rd</t>
  </si>
  <si>
    <t>Circuit Drive at American Legion Hwy</t>
  </si>
  <si>
    <t>Cleveland Circle</t>
  </si>
  <si>
    <t xml:space="preserve">Cleveland Circle </t>
  </si>
  <si>
    <t>Colleges of the Fenway - Fenway at Avenue Louis Pasteur</t>
  </si>
  <si>
    <t>Longwood</t>
  </si>
  <si>
    <t>Commonwealth Ave At Babcock St</t>
  </si>
  <si>
    <t>Babcock Street</t>
  </si>
  <si>
    <t>Commonwealth Ave at Agganis Way</t>
  </si>
  <si>
    <t>Commonwealth Ave at Blandford Mall</t>
  </si>
  <si>
    <t>Blandford Street</t>
  </si>
  <si>
    <t>Commonwealth Ave at Chiswick Rd</t>
  </si>
  <si>
    <t>Commonwealth Ave at Fidelis Way</t>
  </si>
  <si>
    <t>Commonwealth Ave at Granby St</t>
  </si>
  <si>
    <t>Boston University East</t>
  </si>
  <si>
    <t>Commonwealth Ave at Griggs St</t>
  </si>
  <si>
    <t>Griggs Street</t>
  </si>
  <si>
    <t>Commonwealth Ave at Kelton St</t>
  </si>
  <si>
    <t>Commonwealth Ave at Naples Rd</t>
  </si>
  <si>
    <t>Coolidge Corner - Beacon St at Centre St</t>
  </si>
  <si>
    <t>Coolidge Corner</t>
  </si>
  <si>
    <t>Curtis Hall - South St at Centre St</t>
  </si>
  <si>
    <t>Cypress St at Clark Playground</t>
  </si>
  <si>
    <t>Brookline Hills</t>
  </si>
  <si>
    <t>Deerfield St at Commonwealth Ave</t>
  </si>
  <si>
    <t>Faneuil St at Bothwell Rd</t>
  </si>
  <si>
    <t>South Street</t>
  </si>
  <si>
    <t>Forest Hills</t>
  </si>
  <si>
    <t>Forsyth St at Huntington Ave</t>
  </si>
  <si>
    <t>Northeastern University</t>
  </si>
  <si>
    <t>Franklin Park - Seaver St at Humboldt Ave</t>
  </si>
  <si>
    <t>Gardner St at Harvard Ave</t>
  </si>
  <si>
    <t>Green Street T Stop - Green St at Amory St</t>
  </si>
  <si>
    <t>HMS/HSPH - Avenue Louis Pasteur at Longwood Ave</t>
  </si>
  <si>
    <t>Harvard Ave at Brainerd Rd</t>
  </si>
  <si>
    <t>Harvard St and Stedman St</t>
  </si>
  <si>
    <t>Harvard Stadium: N. Harvard St at Soldiers Field Rd</t>
  </si>
  <si>
    <t>Herter Park</t>
  </si>
  <si>
    <t>High St at Cypress St</t>
  </si>
  <si>
    <t>Honan Library</t>
  </si>
  <si>
    <t>Huntington Ave at Mass Art</t>
  </si>
  <si>
    <t>Hyde Park Ave at Walk Hill St</t>
  </si>
  <si>
    <t>Hyde Square - Centre St at Perkins St</t>
  </si>
  <si>
    <t xml:space="preserve">Heath Street </t>
  </si>
  <si>
    <t>Innovation Lab - 125 Western Ave at Batten Way</t>
  </si>
  <si>
    <t>JFK Crossing at Harvard St. / Thorndike St.</t>
  </si>
  <si>
    <t>Jackson Square T Stop</t>
  </si>
  <si>
    <t>Jackson Square</t>
  </si>
  <si>
    <t>Jamaica St at South St</t>
  </si>
  <si>
    <t>Jamaicaway at Perkins St</t>
  </si>
  <si>
    <t>Kenmore Square</t>
  </si>
  <si>
    <t>Kenmore Square - 660 Beacon St</t>
  </si>
  <si>
    <t>Knoll St at Centre St</t>
  </si>
  <si>
    <t>Landmark Center - Brookline Ave at Park Dr</t>
  </si>
  <si>
    <t>Lansdowne T Stop</t>
  </si>
  <si>
    <t>Lincoln St at Empire St</t>
  </si>
  <si>
    <t>Longwood Ave at Binney St</t>
  </si>
  <si>
    <t>Marion St at Harvard St</t>
  </si>
  <si>
    <t>Market St at Mapleton St</t>
  </si>
  <si>
    <t>Martha Eliot Health Center</t>
  </si>
  <si>
    <t>Mt. Hope St at Hyde Park Ave</t>
  </si>
  <si>
    <t>N. Harvard St at Harvard Way</t>
  </si>
  <si>
    <t>New Balance - 20 Guest St</t>
  </si>
  <si>
    <t>Newton Highlands T</t>
  </si>
  <si>
    <t>Newton Library</t>
  </si>
  <si>
    <t>Nonantum Library</t>
  </si>
  <si>
    <t>Northbourne Rd at Hyde Park Ave</t>
  </si>
  <si>
    <t>One Brigham Circle</t>
  </si>
  <si>
    <t>Fenwood Road</t>
  </si>
  <si>
    <t>Packard's Corner - Commonwealth Ave at Brighton Ave</t>
  </si>
  <si>
    <t>Park Dr at Buswell St</t>
  </si>
  <si>
    <t>Parker St at Huntington Ave</t>
  </si>
  <si>
    <t>Riverway at Brookline Ave</t>
  </si>
  <si>
    <t>Mission Park</t>
  </si>
  <si>
    <t>Roslindale Village - South St</t>
  </si>
  <si>
    <t>Roslindale Village - Washington St</t>
  </si>
  <si>
    <t>Roxbury Crossing T Stop - Columbus Ave at Tremont St</t>
  </si>
  <si>
    <t>Roxbury Crossing</t>
  </si>
  <si>
    <t>S Huntington Ave at Heath St</t>
  </si>
  <si>
    <t>Silber Way</t>
  </si>
  <si>
    <t>Spring St at Powell St</t>
  </si>
  <si>
    <t>St Mary's</t>
  </si>
  <si>
    <t>Saint Mary's Street</t>
  </si>
  <si>
    <t>St. Alphonsus St at Tremont St</t>
  </si>
  <si>
    <t>Stadium Rd at Western Ave</t>
  </si>
  <si>
    <t>Stony Brook T Stop</t>
  </si>
  <si>
    <t>Tappan St at Brookline Hills MBTA</t>
  </si>
  <si>
    <t>The Overlook at St. Gabriel's</t>
  </si>
  <si>
    <t>Sutherland Road</t>
  </si>
  <si>
    <t>Union Square - Brighton Ave at Cambridge St</t>
  </si>
  <si>
    <t>Union St at Herrick Rd</t>
  </si>
  <si>
    <t>Walbridge St at Commonwealth Ave</t>
  </si>
  <si>
    <t>Walnut Ave at School St</t>
  </si>
  <si>
    <t>Washington Sq</t>
  </si>
  <si>
    <t>Fairbanks Street</t>
  </si>
  <si>
    <t>Washington St at Brock St</t>
  </si>
  <si>
    <t>Washington St at Crafts St</t>
  </si>
  <si>
    <t>Washington St at Denton Terr</t>
  </si>
  <si>
    <t>Washington St at Egremont Rd</t>
  </si>
  <si>
    <t>Washington St at Walnut St</t>
  </si>
  <si>
    <t>Watertown St at Albemarle Rd</t>
  </si>
  <si>
    <t>Wentworth Institute of Technology - Huntington Ave at Vancouver St</t>
  </si>
  <si>
    <t>West Newton</t>
  </si>
  <si>
    <t>Woodland</t>
  </si>
  <si>
    <t>Western Ave at Everett St</t>
  </si>
  <si>
    <t>Western Ave at Leo Birmingham Pkwy</t>
  </si>
  <si>
    <t>Williams St at Washington St</t>
  </si>
  <si>
    <t>This is a dataset of BLUEbikes stations in Brookline and Newton and parts of Boston near Brookline (either within 2 mi of Coolidge Corner or near the Forest Hills or Green Street stations on the Orange line)</t>
  </si>
  <si>
    <t>Demographic and commuting variables are computed for the census tract closest to the station</t>
  </si>
  <si>
    <t>Variable Name</t>
  </si>
  <si>
    <t>Description</t>
  </si>
  <si>
    <t>name of bluebikes station</t>
  </si>
  <si>
    <t>total number of trips starting at the station between November 2024 and October 2025</t>
  </si>
  <si>
    <t>latitude of station</t>
  </si>
  <si>
    <t>longitude of station</t>
  </si>
  <si>
    <t>Area of the census tract calculated in acres</t>
  </si>
  <si>
    <t>2020 Census count of housing units</t>
  </si>
  <si>
    <t>pop per acre</t>
  </si>
  <si>
    <t>population per acre in census tract</t>
  </si>
  <si>
    <t>Census tract</t>
  </si>
  <si>
    <t>census tract</t>
  </si>
  <si>
    <t>City/town (4= Brookline, 10=Boston, 127= Newton)</t>
  </si>
  <si>
    <t>Closest MBTA</t>
  </si>
  <si>
    <t>Nearest MBTA subway station</t>
  </si>
  <si>
    <t>Clostest MBTA line</t>
  </si>
  <si>
    <t>Nearest MBTA subway line</t>
  </si>
  <si>
    <t>Distance to nearest MBTA station</t>
  </si>
  <si>
    <t>Number of MBTA stations within 1/4 mile</t>
  </si>
  <si>
    <t>workers 16 years and over in census tract</t>
  </si>
  <si>
    <t>Totalpopulation</t>
  </si>
  <si>
    <t>population in the census tract</t>
  </si>
  <si>
    <t>population in listed age group</t>
  </si>
  <si>
    <t>Medianage</t>
  </si>
  <si>
    <t>Median age in census tract</t>
  </si>
  <si>
    <t>Sexratioma</t>
  </si>
  <si>
    <t>Ratio of males to females</t>
  </si>
  <si>
    <t>Number of workers 16 and older</t>
  </si>
  <si>
    <t>percent of residents who commute by listed method</t>
  </si>
  <si>
    <t>distance from Boston Common</t>
  </si>
  <si>
    <t>distance from Longwood medical area</t>
  </si>
  <si>
    <t>dummy for Boston</t>
  </si>
  <si>
    <t>dummy for Newton</t>
  </si>
  <si>
    <t>percent of residents with average commute time listed</t>
  </si>
  <si>
    <t>Mean travel time to work in minutes</t>
  </si>
  <si>
    <t>Number of BLUEbikes stations within a quarter mile</t>
  </si>
  <si>
    <t>Number of BLUEbikes stations within a half mile</t>
  </si>
  <si>
    <t>Average number of trips at BLUEbikes stations within a quarter mile</t>
  </si>
  <si>
    <t>Average number of trips at BLUEbikes stations within a half mile</t>
  </si>
  <si>
    <t>Blanks</t>
  </si>
  <si>
    <t>Approximate Nautical Miles from Boston University Central</t>
  </si>
  <si>
    <t>Percentage Worked from Home</t>
  </si>
  <si>
    <t>Age 15 to 24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</si>
  <si>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</si>
  <si>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</si>
  <si>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</si>
  <si>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</si>
  <si>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</si>
  <si>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</si>
  <si>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</si>
  <si>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</si>
  <si>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</si>
  <si>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</si>
  <si>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</si>
  <si>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</si>
  <si>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</si>
  <si>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</si>
  <si>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</si>
  <si>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</si>
  <si>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</si>
  <si>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</si>
  <si>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</si>
  <si>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</si>
  <si>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</si>
  <si>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</si>
  <si>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</si>
  <si>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</si>
  <si>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Dummy Green Line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</si>
  <si>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</si>
  <si>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</si>
  <si>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</si>
  <si>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</si>
  <si>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</si>
  <si>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</si>
  <si>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</si>
  <si>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</si>
  <si>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</si>
  <si>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</si>
  <si>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</si>
  <si>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</si>
  <si>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 y Statistics for Approximate Nautical Miles from Boston University Central Station</t>
  </si>
  <si>
    <t>Summary Statistics for Percentage of Working Population Working from Home</t>
  </si>
  <si>
    <t>Predicted Trips= -5872702 + longitude( -82802.602) + Age15to24(1.452) + pooperacre(79.303) +Approximate Nautical Miles from Boston University Central Station(1812.506) + distance_common(-4457.324)</t>
  </si>
  <si>
    <t>Miles BUC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</si>
</sst>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rgb="FF000000"/>
      <name val="Aptos Narrow"/>
      <family val="2"/>
      <scheme val="minor"/>
    </font>
    <font>
      <b/>
      <u/>
      <sz val="11"/>
      <color theme="1"/>
      <name val="Aptos Narrow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42"/>
    <xf numFmtId="0" fontId="20" fillId="0" borderId="0" xfId="42" applyFont="1"/>
    <xf numFmtId="0" fontId="19" fillId="0" borderId="0" xfId="42" applyAlignment="1">
      <alignment horizontal="left" vertical="top" wrapText="1"/>
    </xf>
    <xf numFmtId="0" fontId="20" fillId="33" borderId="0" xfId="42" applyFont="1" applyFill="1"/>
    <xf numFmtId="0" fontId="21" fillId="0" borderId="0" xfId="42" applyFont="1"/>
    <xf numFmtId="0" fontId="20" fillId="0" borderId="0" xfId="42" applyFont="1" applyAlignment="1">
      <alignment shrinkToFit="1"/>
    </xf>
    <xf numFmtId="0" fontId="22" fillId="0" borderId="0" xfId="0" applyFont="1"/>
    <xf numFmtId="164" fontId="0" fillId="0" borderId="0" xfId="43" applyNumberFormat="1" applyFont="1"/>
    <xf numFmtId="0" fontId="23" fillId="0" borderId="0" xfId="0" applyFont="1"/>
    <xf numFmtId="0" fontId="0" fillId="0" borderId="10" xfId="0" applyBorder="1"/>
    <xf numFmtId="0" fontId="24" fillId="0" borderId="11" xfId="0" applyFont="1" applyBorder="1" applyAlignment="1">
      <alignment horizontal="center"/>
    </xf>
    <xf numFmtId="0" fontId="24" fillId="0" borderId="11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0" xfId="0" applyFill="1" applyBorder="1" applyAlignment="1"/>
    <xf numFmtId="0" fontId="24" fillId="0" borderId="11" xfId="0" applyFont="1" applyFill="1" applyBorder="1" applyAlignment="1">
      <alignment horizontal="center"/>
    </xf>
    <xf numFmtId="165" fontId="0" fillId="0" borderId="0" xfId="0" applyNumberFormat="1" applyFill="1" applyBorder="1" applyAlignment="1"/>
    <xf numFmtId="165" fontId="0" fillId="0" borderId="10" xfId="0" applyNumberFormat="1" applyFill="1" applyBorder="1" applyAlignment="1"/>
    <xf numFmtId="165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08B27D6-64E2-4AA2-808F-BAA29C16ECA8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4152-373C-7D47-BFA4-5DAAA675E221}">
  <dimension ref="A1:I22"/>
  <sheetViews>
    <sheetView workbookViewId="0">
      <selection activeCell="A19" sqref="A19"/>
    </sheetView>
  </sheetViews>
  <sheetFormatPr baseColWidth="10" defaultRowHeight="15" x14ac:dyDescent="0.2"/>
  <sheetData>
    <row r="1" spans="1:9" x14ac:dyDescent="0.2">
      <c r="A1" t="s">
        <v>266</v>
      </c>
    </row>
    <row r="2" spans="1:9" ht="16" thickBot="1" x14ac:dyDescent="0.25"/>
    <row r="3" spans="1:9" x14ac:dyDescent="0.2">
      <c r="A3" s="14" t="s">
        <v>267</v>
      </c>
      <c r="B3" s="14"/>
    </row>
    <row r="4" spans="1:9" x14ac:dyDescent="0.2">
      <c r="A4" t="s">
        <v>268</v>
      </c>
      <c r="B4">
        <v>0.77425885670792394</v>
      </c>
    </row>
    <row r="5" spans="1:9" x14ac:dyDescent="0.2">
      <c r="A5" t="s">
        <v>269</v>
      </c>
      <c r="B5">
        <v>0.5994767771906615</v>
      </c>
    </row>
    <row r="6" spans="1:9" x14ac:dyDescent="0.2">
      <c r="A6" t="s">
        <v>270</v>
      </c>
      <c r="B6">
        <v>0.58127117615387336</v>
      </c>
    </row>
    <row r="7" spans="1:9" x14ac:dyDescent="0.2">
      <c r="A7" t="s">
        <v>271</v>
      </c>
      <c r="B7">
        <v>4609.2115115561282</v>
      </c>
    </row>
    <row r="8" spans="1:9" ht="16" thickBot="1" x14ac:dyDescent="0.25">
      <c r="A8" s="12" t="s">
        <v>272</v>
      </c>
      <c r="B8" s="12">
        <v>116</v>
      </c>
    </row>
    <row r="10" spans="1:9" ht="16" thickBot="1" x14ac:dyDescent="0.25">
      <c r="A10" t="s">
        <v>273</v>
      </c>
    </row>
    <row r="11" spans="1:9" x14ac:dyDescent="0.2">
      <c r="A11" s="13"/>
      <c r="B11" s="13" t="s">
        <v>278</v>
      </c>
      <c r="C11" s="13" t="s">
        <v>279</v>
      </c>
      <c r="D11" s="13" t="s">
        <v>280</v>
      </c>
      <c r="E11" s="13" t="s">
        <v>281</v>
      </c>
      <c r="F11" s="13" t="s">
        <v>282</v>
      </c>
    </row>
    <row r="12" spans="1:9" x14ac:dyDescent="0.2">
      <c r="A12" t="s">
        <v>274</v>
      </c>
      <c r="B12">
        <v>5</v>
      </c>
      <c r="C12">
        <v>3497764959.5826101</v>
      </c>
      <c r="D12">
        <v>699552991.91652203</v>
      </c>
      <c r="E12">
        <v>32.928150846505808</v>
      </c>
      <c r="F12">
        <v>2.0915438464077336E-20</v>
      </c>
    </row>
    <row r="13" spans="1:9" x14ac:dyDescent="0.2">
      <c r="A13" t="s">
        <v>275</v>
      </c>
      <c r="B13">
        <v>110</v>
      </c>
      <c r="C13">
        <v>2336931383.4087687</v>
      </c>
      <c r="D13">
        <v>21244830.758261532</v>
      </c>
    </row>
    <row r="14" spans="1:9" ht="16" thickBot="1" x14ac:dyDescent="0.25">
      <c r="A14" s="12" t="s">
        <v>276</v>
      </c>
      <c r="B14" s="12">
        <v>115</v>
      </c>
      <c r="C14" s="12">
        <v>5834696342.9913788</v>
      </c>
      <c r="D14" s="12"/>
      <c r="E14" s="12"/>
      <c r="F14" s="12"/>
    </row>
    <row r="15" spans="1:9" ht="16" thickBot="1" x14ac:dyDescent="0.25"/>
    <row r="16" spans="1:9" x14ac:dyDescent="0.2">
      <c r="A16" s="13"/>
      <c r="B16" s="13" t="s">
        <v>283</v>
      </c>
      <c r="C16" s="13" t="s">
        <v>271</v>
      </c>
      <c r="D16" s="13" t="s">
        <v>284</v>
      </c>
      <c r="E16" s="13" t="s">
        <v>285</v>
      </c>
      <c r="F16" s="13" t="s">
        <v>286</v>
      </c>
      <c r="G16" s="13" t="s">
        <v>287</v>
      </c>
      <c r="H16" s="13" t="s">
        <v>288</v>
      </c>
      <c r="I16" s="13" t="s">
        <v>289</v>
      </c>
    </row>
    <row r="17" spans="1:9" x14ac:dyDescent="0.2">
      <c r="A17" t="s">
        <v>277</v>
      </c>
      <c r="B17">
        <v>5697.1200483354169</v>
      </c>
      <c r="C17">
        <v>2773.0037809675405</v>
      </c>
      <c r="D17">
        <v>2.0544941508689938</v>
      </c>
      <c r="E17">
        <v>4.2297712627933574E-2</v>
      </c>
      <c r="F17">
        <v>201.67742799214068</v>
      </c>
      <c r="G17">
        <v>11192.562668678693</v>
      </c>
      <c r="H17">
        <v>201.67742799214068</v>
      </c>
      <c r="I17">
        <v>11192.562668678693</v>
      </c>
    </row>
    <row r="18" spans="1:9" x14ac:dyDescent="0.2">
      <c r="A18" t="s">
        <v>263</v>
      </c>
      <c r="B18">
        <v>-542.7167342980423</v>
      </c>
      <c r="C18">
        <v>1095.0645045978629</v>
      </c>
      <c r="D18">
        <v>-0.49560252571362678</v>
      </c>
      <c r="E18">
        <v>0.62116355498419207</v>
      </c>
      <c r="F18">
        <v>-2712.8775512055736</v>
      </c>
      <c r="G18">
        <v>1627.4440826094892</v>
      </c>
      <c r="H18">
        <v>-2712.8775512055736</v>
      </c>
      <c r="I18">
        <v>1627.4440826094892</v>
      </c>
    </row>
    <row r="19" spans="1:9" x14ac:dyDescent="0.2">
      <c r="A19" t="s">
        <v>265</v>
      </c>
      <c r="B19">
        <v>1.9668668234618754</v>
      </c>
      <c r="C19">
        <v>0.48906203741764831</v>
      </c>
      <c r="D19">
        <v>4.0217123247744828</v>
      </c>
      <c r="E19">
        <v>1.0623885252095996E-4</v>
      </c>
      <c r="F19">
        <v>0.99766065689865613</v>
      </c>
      <c r="G19">
        <v>2.9360729900250946</v>
      </c>
      <c r="H19">
        <v>0.99766065689865613</v>
      </c>
      <c r="I19">
        <v>2.9360729900250946</v>
      </c>
    </row>
    <row r="20" spans="1:9" x14ac:dyDescent="0.2">
      <c r="A20" t="s">
        <v>264</v>
      </c>
      <c r="B20">
        <v>132976.42235921641</v>
      </c>
      <c r="C20">
        <v>82193.483262021575</v>
      </c>
      <c r="D20">
        <v>1.6178462948857608</v>
      </c>
      <c r="E20">
        <v>0.10855976248163526</v>
      </c>
      <c r="F20">
        <v>-29911.769186986297</v>
      </c>
      <c r="G20">
        <v>295864.61390541913</v>
      </c>
      <c r="H20">
        <v>-29911.769186986297</v>
      </c>
      <c r="I20">
        <v>295864.61390541913</v>
      </c>
    </row>
    <row r="21" spans="1:9" x14ac:dyDescent="0.2">
      <c r="A21" t="s">
        <v>6</v>
      </c>
      <c r="B21">
        <v>89.58557655307574</v>
      </c>
      <c r="C21">
        <v>23.662243462675118</v>
      </c>
      <c r="D21">
        <v>3.7860136421294226</v>
      </c>
      <c r="E21">
        <v>2.4982590065817696E-4</v>
      </c>
      <c r="F21">
        <v>42.692563961382476</v>
      </c>
      <c r="G21">
        <v>136.47858914476902</v>
      </c>
      <c r="H21">
        <v>42.692563961382476</v>
      </c>
      <c r="I21">
        <v>136.47858914476902</v>
      </c>
    </row>
    <row r="22" spans="1:9" ht="16" thickBot="1" x14ac:dyDescent="0.25">
      <c r="A22" s="12" t="s">
        <v>53</v>
      </c>
      <c r="B22" s="12">
        <v>-962.69094914459379</v>
      </c>
      <c r="C22" s="12">
        <v>959.48685999318138</v>
      </c>
      <c r="D22" s="12">
        <v>-1.0033393778331006</v>
      </c>
      <c r="E22" s="12">
        <v>0.31789917546104074</v>
      </c>
      <c r="F22" s="12">
        <v>-2864.1686969412858</v>
      </c>
      <c r="G22" s="12">
        <v>938.78679865209847</v>
      </c>
      <c r="H22" s="12">
        <v>-2864.1686969412858</v>
      </c>
      <c r="I22" s="12">
        <v>938.78679865209847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45DF-4232-5B44-B8EA-7B73FA8A733E}">
  <dimension ref="A1:I22"/>
  <sheetViews>
    <sheetView workbookViewId="0">
      <selection activeCell="A21" sqref="A21"/>
    </sheetView>
  </sheetViews>
  <sheetFormatPr baseColWidth="10" defaultRowHeight="15" x14ac:dyDescent="0.2"/>
  <sheetData>
    <row r="1" spans="1:9" x14ac:dyDescent="0.2">
      <c r="A1" t="s">
        <v>266</v>
      </c>
    </row>
    <row r="2" spans="1:9" ht="16" thickBot="1" x14ac:dyDescent="0.25"/>
    <row r="3" spans="1:9" x14ac:dyDescent="0.2">
      <c r="A3" s="14" t="s">
        <v>267</v>
      </c>
      <c r="B3" s="14"/>
    </row>
    <row r="4" spans="1:9" x14ac:dyDescent="0.2">
      <c r="A4" t="s">
        <v>268</v>
      </c>
      <c r="B4">
        <v>0.773755001988925</v>
      </c>
    </row>
    <row r="5" spans="1:9" x14ac:dyDescent="0.2">
      <c r="A5" t="s">
        <v>269</v>
      </c>
      <c r="B5">
        <v>0.59869680310288131</v>
      </c>
    </row>
    <row r="6" spans="1:9" x14ac:dyDescent="0.2">
      <c r="A6" t="s">
        <v>270</v>
      </c>
      <c r="B6">
        <v>0.58045574869846683</v>
      </c>
    </row>
    <row r="7" spans="1:9" x14ac:dyDescent="0.2">
      <c r="A7" t="s">
        <v>271</v>
      </c>
      <c r="B7">
        <v>4613.697290151229</v>
      </c>
    </row>
    <row r="8" spans="1:9" ht="16" thickBot="1" x14ac:dyDescent="0.25">
      <c r="A8" s="12" t="s">
        <v>272</v>
      </c>
      <c r="B8" s="12">
        <v>116</v>
      </c>
    </row>
    <row r="10" spans="1:9" ht="16" thickBot="1" x14ac:dyDescent="0.25">
      <c r="A10" t="s">
        <v>273</v>
      </c>
    </row>
    <row r="11" spans="1:9" x14ac:dyDescent="0.2">
      <c r="A11" s="13"/>
      <c r="B11" s="13" t="s">
        <v>278</v>
      </c>
      <c r="C11" s="13" t="s">
        <v>279</v>
      </c>
      <c r="D11" s="13" t="s">
        <v>280</v>
      </c>
      <c r="E11" s="13" t="s">
        <v>281</v>
      </c>
      <c r="F11" s="13" t="s">
        <v>282</v>
      </c>
    </row>
    <row r="12" spans="1:9" x14ac:dyDescent="0.2">
      <c r="A12" t="s">
        <v>274</v>
      </c>
      <c r="B12">
        <v>5</v>
      </c>
      <c r="C12">
        <v>3493214047.6250114</v>
      </c>
      <c r="D12">
        <v>698642809.52500224</v>
      </c>
      <c r="E12">
        <v>32.821392329052635</v>
      </c>
      <c r="F12">
        <v>2.3233488060037094E-20</v>
      </c>
    </row>
    <row r="13" spans="1:9" x14ac:dyDescent="0.2">
      <c r="A13" t="s">
        <v>275</v>
      </c>
      <c r="B13">
        <v>110</v>
      </c>
      <c r="C13">
        <v>2341482295.3663673</v>
      </c>
      <c r="D13">
        <v>21286202.685148794</v>
      </c>
    </row>
    <row r="14" spans="1:9" ht="16" thickBot="1" x14ac:dyDescent="0.25">
      <c r="A14" s="12" t="s">
        <v>276</v>
      </c>
      <c r="B14" s="12">
        <v>115</v>
      </c>
      <c r="C14" s="12">
        <v>5834696342.9913788</v>
      </c>
      <c r="D14" s="12"/>
      <c r="E14" s="12"/>
      <c r="F14" s="12"/>
    </row>
    <row r="15" spans="1:9" ht="16" thickBot="1" x14ac:dyDescent="0.25"/>
    <row r="16" spans="1:9" x14ac:dyDescent="0.2">
      <c r="A16" s="13"/>
      <c r="B16" s="13" t="s">
        <v>283</v>
      </c>
      <c r="C16" s="13" t="s">
        <v>271</v>
      </c>
      <c r="D16" s="13" t="s">
        <v>284</v>
      </c>
      <c r="E16" s="13" t="s">
        <v>285</v>
      </c>
      <c r="F16" s="13" t="s">
        <v>286</v>
      </c>
      <c r="G16" s="13" t="s">
        <v>287</v>
      </c>
      <c r="H16" s="13" t="s">
        <v>288</v>
      </c>
      <c r="I16" s="13" t="s">
        <v>289</v>
      </c>
    </row>
    <row r="17" spans="1:9" x14ac:dyDescent="0.2">
      <c r="A17" t="s">
        <v>277</v>
      </c>
      <c r="B17">
        <v>-3217469.4307677895</v>
      </c>
      <c r="C17">
        <v>1831621.4044095911</v>
      </c>
      <c r="D17">
        <v>-1.7566236248505274</v>
      </c>
      <c r="E17">
        <v>8.1764752201935978E-2</v>
      </c>
      <c r="F17">
        <v>-6847313.1400372572</v>
      </c>
      <c r="G17">
        <v>412374.27850167797</v>
      </c>
      <c r="H17">
        <v>-6847313.1400372572</v>
      </c>
      <c r="I17">
        <v>412374.27850167797</v>
      </c>
    </row>
    <row r="18" spans="1:9" x14ac:dyDescent="0.2">
      <c r="A18" t="s">
        <v>3</v>
      </c>
      <c r="B18">
        <v>-45405.0810300066</v>
      </c>
      <c r="C18">
        <v>25777.519297675197</v>
      </c>
      <c r="D18">
        <v>-1.7614216676816361</v>
      </c>
      <c r="E18">
        <v>8.0945567273184832E-2</v>
      </c>
      <c r="F18">
        <v>-96490.07383363659</v>
      </c>
      <c r="G18">
        <v>5679.9117736233875</v>
      </c>
      <c r="H18">
        <v>-96490.07383363659</v>
      </c>
      <c r="I18">
        <v>5679.9117736233875</v>
      </c>
    </row>
    <row r="19" spans="1:9" x14ac:dyDescent="0.2">
      <c r="A19" t="s">
        <v>265</v>
      </c>
      <c r="B19">
        <v>1.6854059448451792</v>
      </c>
      <c r="C19">
        <v>0.49002863566327137</v>
      </c>
      <c r="D19">
        <v>3.4394029699181186</v>
      </c>
      <c r="E19">
        <v>8.2456309044022134E-4</v>
      </c>
      <c r="F19">
        <v>0.71428420743701426</v>
      </c>
      <c r="G19">
        <v>2.6565276822533441</v>
      </c>
      <c r="H19">
        <v>0.71428420743701426</v>
      </c>
      <c r="I19">
        <v>2.6565276822533441</v>
      </c>
    </row>
    <row r="20" spans="1:9" x14ac:dyDescent="0.2">
      <c r="A20" t="s">
        <v>6</v>
      </c>
      <c r="B20">
        <v>83.082730334725468</v>
      </c>
      <c r="C20">
        <v>23.669837579036916</v>
      </c>
      <c r="D20">
        <v>3.5100676148410632</v>
      </c>
      <c r="E20">
        <v>6.5048623514106572E-4</v>
      </c>
      <c r="F20">
        <v>36.174667986877921</v>
      </c>
      <c r="G20">
        <v>129.99079268257302</v>
      </c>
      <c r="H20">
        <v>36.174667986877921</v>
      </c>
      <c r="I20">
        <v>129.99079268257302</v>
      </c>
    </row>
    <row r="21" spans="1:9" x14ac:dyDescent="0.2">
      <c r="A21" t="s">
        <v>13</v>
      </c>
      <c r="B21">
        <v>-0.3031123706823825</v>
      </c>
      <c r="C21">
        <v>0.59222489485336427</v>
      </c>
      <c r="D21">
        <v>-0.51181970450167169</v>
      </c>
      <c r="E21">
        <v>0.60980318976980352</v>
      </c>
      <c r="F21">
        <v>-1.476763106517275</v>
      </c>
      <c r="G21">
        <v>0.87053836515251015</v>
      </c>
      <c r="H21">
        <v>-1.476763106517275</v>
      </c>
      <c r="I21">
        <v>0.87053836515251015</v>
      </c>
    </row>
    <row r="22" spans="1:9" ht="16" thickBot="1" x14ac:dyDescent="0.25">
      <c r="A22" s="12" t="s">
        <v>53</v>
      </c>
      <c r="B22" s="12">
        <v>-2236.8984693220432</v>
      </c>
      <c r="C22" s="12">
        <v>600.0044891047811</v>
      </c>
      <c r="D22" s="12">
        <v>-3.7281362222131724</v>
      </c>
      <c r="E22" s="12">
        <v>3.0658460906845061E-4</v>
      </c>
      <c r="F22" s="12">
        <v>-3425.9665349534703</v>
      </c>
      <c r="G22" s="12">
        <v>-1047.8304036906161</v>
      </c>
      <c r="H22" s="12">
        <v>-3425.9665349534703</v>
      </c>
      <c r="I22" s="12">
        <v>-1047.8304036906161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AAD8-70EF-5C44-A8FE-EE08853F1B7D}">
  <dimension ref="A1:I22"/>
  <sheetViews>
    <sheetView workbookViewId="0">
      <selection activeCell="E25" sqref="E25"/>
    </sheetView>
  </sheetViews>
  <sheetFormatPr baseColWidth="10" defaultRowHeight="15" x14ac:dyDescent="0.2"/>
  <sheetData>
    <row r="1" spans="1:9" x14ac:dyDescent="0.2">
      <c r="A1" t="s">
        <v>266</v>
      </c>
    </row>
    <row r="2" spans="1:9" ht="16" thickBot="1" x14ac:dyDescent="0.25"/>
    <row r="3" spans="1:9" x14ac:dyDescent="0.2">
      <c r="A3" s="14" t="s">
        <v>267</v>
      </c>
      <c r="B3" s="14"/>
    </row>
    <row r="4" spans="1:9" x14ac:dyDescent="0.2">
      <c r="A4" t="s">
        <v>268</v>
      </c>
      <c r="B4">
        <v>0.77313821033072383</v>
      </c>
    </row>
    <row r="5" spans="1:9" x14ac:dyDescent="0.2">
      <c r="A5" t="s">
        <v>269</v>
      </c>
      <c r="B5">
        <v>0.59774269227339449</v>
      </c>
    </row>
    <row r="6" spans="1:9" x14ac:dyDescent="0.2">
      <c r="A6" t="s">
        <v>270</v>
      </c>
      <c r="B6">
        <v>0.5794582691949125</v>
      </c>
    </row>
    <row r="7" spans="1:9" x14ac:dyDescent="0.2">
      <c r="A7" t="s">
        <v>271</v>
      </c>
      <c r="B7">
        <v>4619.1786384535189</v>
      </c>
    </row>
    <row r="8" spans="1:9" ht="16" thickBot="1" x14ac:dyDescent="0.25">
      <c r="A8" s="12" t="s">
        <v>272</v>
      </c>
      <c r="B8" s="12">
        <v>116</v>
      </c>
    </row>
    <row r="10" spans="1:9" ht="16" thickBot="1" x14ac:dyDescent="0.25">
      <c r="A10" t="s">
        <v>273</v>
      </c>
    </row>
    <row r="11" spans="1:9" x14ac:dyDescent="0.2">
      <c r="A11" s="13"/>
      <c r="B11" s="13" t="s">
        <v>278</v>
      </c>
      <c r="C11" s="13" t="s">
        <v>279</v>
      </c>
      <c r="D11" s="13" t="s">
        <v>280</v>
      </c>
      <c r="E11" s="13" t="s">
        <v>281</v>
      </c>
      <c r="F11" s="13" t="s">
        <v>282</v>
      </c>
    </row>
    <row r="12" spans="1:9" x14ac:dyDescent="0.2">
      <c r="A12" t="s">
        <v>274</v>
      </c>
      <c r="B12">
        <v>5</v>
      </c>
      <c r="C12">
        <v>3487647100.6573958</v>
      </c>
      <c r="D12">
        <v>697529420.13147914</v>
      </c>
      <c r="E12">
        <v>32.691361915424331</v>
      </c>
      <c r="F12">
        <v>2.641368599722571E-20</v>
      </c>
    </row>
    <row r="13" spans="1:9" x14ac:dyDescent="0.2">
      <c r="A13" t="s">
        <v>275</v>
      </c>
      <c r="B13">
        <v>110</v>
      </c>
      <c r="C13">
        <v>2347049242.3339829</v>
      </c>
      <c r="D13">
        <v>21336811.293945301</v>
      </c>
    </row>
    <row r="14" spans="1:9" ht="16" thickBot="1" x14ac:dyDescent="0.25">
      <c r="A14" s="12" t="s">
        <v>276</v>
      </c>
      <c r="B14" s="12">
        <v>115</v>
      </c>
      <c r="C14" s="12">
        <v>5834696342.9913788</v>
      </c>
      <c r="D14" s="12"/>
      <c r="E14" s="12"/>
      <c r="F14" s="12"/>
    </row>
    <row r="15" spans="1:9" ht="16" thickBot="1" x14ac:dyDescent="0.25"/>
    <row r="16" spans="1:9" x14ac:dyDescent="0.2">
      <c r="A16" s="13"/>
      <c r="B16" s="13" t="s">
        <v>283</v>
      </c>
      <c r="C16" s="13" t="s">
        <v>271</v>
      </c>
      <c r="D16" s="13" t="s">
        <v>284</v>
      </c>
      <c r="E16" s="13" t="s">
        <v>285</v>
      </c>
      <c r="F16" s="13" t="s">
        <v>286</v>
      </c>
      <c r="G16" s="13" t="s">
        <v>287</v>
      </c>
      <c r="H16" s="13" t="s">
        <v>288</v>
      </c>
      <c r="I16" s="13" t="s">
        <v>289</v>
      </c>
    </row>
    <row r="17" spans="1:9" x14ac:dyDescent="0.2">
      <c r="A17" t="s">
        <v>277</v>
      </c>
      <c r="B17">
        <v>-3139239.6212820043</v>
      </c>
      <c r="C17">
        <v>4259180.949297945</v>
      </c>
      <c r="D17">
        <v>-0.73705241891623685</v>
      </c>
      <c r="E17">
        <v>0.46265965839721346</v>
      </c>
      <c r="F17">
        <v>-11579936.556920277</v>
      </c>
      <c r="G17">
        <v>5301457.3143562684</v>
      </c>
      <c r="H17">
        <v>-11579936.556920277</v>
      </c>
      <c r="I17">
        <v>5301457.3143562684</v>
      </c>
    </row>
    <row r="18" spans="1:9" x14ac:dyDescent="0.2">
      <c r="A18" t="s">
        <v>3</v>
      </c>
      <c r="B18">
        <v>-44299.498925509317</v>
      </c>
      <c r="C18">
        <v>59964.045750894438</v>
      </c>
      <c r="D18">
        <v>-0.73876767937808019</v>
      </c>
      <c r="E18">
        <v>0.46162150048534412</v>
      </c>
      <c r="F18">
        <v>-163134.16297082917</v>
      </c>
      <c r="G18">
        <v>74535.165119810554</v>
      </c>
      <c r="H18">
        <v>-163134.16297082917</v>
      </c>
      <c r="I18">
        <v>74535.165119810554</v>
      </c>
    </row>
    <row r="19" spans="1:9" x14ac:dyDescent="0.2">
      <c r="A19" t="s">
        <v>265</v>
      </c>
      <c r="B19">
        <v>1.6474473929312854</v>
      </c>
      <c r="C19">
        <v>0.48975163520679632</v>
      </c>
      <c r="D19">
        <v>3.3638425571272572</v>
      </c>
      <c r="E19">
        <v>1.0586565049132497E-3</v>
      </c>
      <c r="F19">
        <v>0.67687460541089739</v>
      </c>
      <c r="G19">
        <v>2.6180201804516732</v>
      </c>
      <c r="H19">
        <v>0.67687460541089739</v>
      </c>
      <c r="I19">
        <v>2.6180201804516732</v>
      </c>
    </row>
    <row r="20" spans="1:9" x14ac:dyDescent="0.2">
      <c r="A20" t="s">
        <v>6</v>
      </c>
      <c r="B20">
        <v>81.569030870108762</v>
      </c>
      <c r="C20">
        <v>23.520069831354672</v>
      </c>
      <c r="D20">
        <v>3.4680607436534419</v>
      </c>
      <c r="E20">
        <v>7.4925668406428895E-4</v>
      </c>
      <c r="F20">
        <v>34.957773045001048</v>
      </c>
      <c r="G20">
        <v>128.18028869521649</v>
      </c>
      <c r="H20">
        <v>34.957773045001048</v>
      </c>
      <c r="I20">
        <v>128.18028869521649</v>
      </c>
    </row>
    <row r="21" spans="1:9" x14ac:dyDescent="0.2">
      <c r="A21" t="s">
        <v>290</v>
      </c>
      <c r="B21">
        <v>51.074563981298162</v>
      </c>
      <c r="C21">
        <v>2463.1283826676995</v>
      </c>
      <c r="D21">
        <v>2.0735648348943016E-2</v>
      </c>
      <c r="E21">
        <v>0.98349409818920241</v>
      </c>
      <c r="F21">
        <v>-4830.2677502244123</v>
      </c>
      <c r="G21">
        <v>4932.4168781870085</v>
      </c>
      <c r="H21">
        <v>-4830.2677502244123</v>
      </c>
      <c r="I21">
        <v>4932.4168781870085</v>
      </c>
    </row>
    <row r="22" spans="1:9" ht="16" thickBot="1" x14ac:dyDescent="0.25">
      <c r="A22" s="12" t="s">
        <v>53</v>
      </c>
      <c r="B22" s="12">
        <v>-2270.6585790990512</v>
      </c>
      <c r="C22" s="12">
        <v>1187.7764525739046</v>
      </c>
      <c r="D22" s="12">
        <v>-1.9116884950687036</v>
      </c>
      <c r="E22" s="12">
        <v>5.8517991266079337E-2</v>
      </c>
      <c r="F22" s="12">
        <v>-4624.5527157443648</v>
      </c>
      <c r="G22" s="12">
        <v>83.235557546262655</v>
      </c>
      <c r="H22" s="12">
        <v>-4624.5527157443648</v>
      </c>
      <c r="I22" s="12">
        <v>83.235557546262655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C274-C3BA-BA41-98AE-8A09828DDF85}">
  <dimension ref="A1:I22"/>
  <sheetViews>
    <sheetView workbookViewId="0">
      <selection activeCell="D27" sqref="D27"/>
    </sheetView>
  </sheetViews>
  <sheetFormatPr baseColWidth="10" defaultRowHeight="15" x14ac:dyDescent="0.2"/>
  <sheetData>
    <row r="1" spans="1:9" x14ac:dyDescent="0.2">
      <c r="A1" t="s">
        <v>266</v>
      </c>
    </row>
    <row r="2" spans="1:9" ht="16" thickBot="1" x14ac:dyDescent="0.25"/>
    <row r="3" spans="1:9" x14ac:dyDescent="0.2">
      <c r="A3" s="14" t="s">
        <v>267</v>
      </c>
      <c r="B3" s="14"/>
    </row>
    <row r="4" spans="1:9" x14ac:dyDescent="0.2">
      <c r="A4" t="s">
        <v>268</v>
      </c>
      <c r="B4">
        <v>0.77357059875354539</v>
      </c>
    </row>
    <row r="5" spans="1:9" x14ac:dyDescent="0.2">
      <c r="A5" t="s">
        <v>269</v>
      </c>
      <c r="B5">
        <v>0.59841147125591876</v>
      </c>
    </row>
    <row r="6" spans="1:9" x14ac:dyDescent="0.2">
      <c r="A6" t="s">
        <v>270</v>
      </c>
      <c r="B6">
        <v>0.58015744722209694</v>
      </c>
    </row>
    <row r="7" spans="1:9" x14ac:dyDescent="0.2">
      <c r="A7" t="s">
        <v>271</v>
      </c>
      <c r="B7">
        <v>4615.3371984074411</v>
      </c>
    </row>
    <row r="8" spans="1:9" ht="16" thickBot="1" x14ac:dyDescent="0.25">
      <c r="A8" s="12" t="s">
        <v>272</v>
      </c>
      <c r="B8" s="12">
        <v>116</v>
      </c>
    </row>
    <row r="10" spans="1:9" ht="16" thickBot="1" x14ac:dyDescent="0.25">
      <c r="A10" t="s">
        <v>273</v>
      </c>
    </row>
    <row r="11" spans="1:9" x14ac:dyDescent="0.2">
      <c r="A11" s="13"/>
      <c r="B11" s="13" t="s">
        <v>278</v>
      </c>
      <c r="C11" s="13" t="s">
        <v>279</v>
      </c>
      <c r="D11" s="13" t="s">
        <v>280</v>
      </c>
      <c r="E11" s="13" t="s">
        <v>281</v>
      </c>
      <c r="F11" s="13" t="s">
        <v>282</v>
      </c>
    </row>
    <row r="12" spans="1:9" x14ac:dyDescent="0.2">
      <c r="A12" t="s">
        <v>274</v>
      </c>
      <c r="B12">
        <v>5</v>
      </c>
      <c r="C12">
        <v>3491549222.941</v>
      </c>
      <c r="D12">
        <v>698309844.58819997</v>
      </c>
      <c r="E12">
        <v>32.782441293336483</v>
      </c>
      <c r="F12">
        <v>2.4142956026740528E-20</v>
      </c>
    </row>
    <row r="13" spans="1:9" x14ac:dyDescent="0.2">
      <c r="A13" t="s">
        <v>275</v>
      </c>
      <c r="B13">
        <v>110</v>
      </c>
      <c r="C13">
        <v>2343147120.0503788</v>
      </c>
      <c r="D13">
        <v>21301337.455003444</v>
      </c>
    </row>
    <row r="14" spans="1:9" ht="16" thickBot="1" x14ac:dyDescent="0.25">
      <c r="A14" s="12" t="s">
        <v>276</v>
      </c>
      <c r="B14" s="12">
        <v>115</v>
      </c>
      <c r="C14" s="12">
        <v>5834696342.9913788</v>
      </c>
      <c r="D14" s="12"/>
      <c r="E14" s="12"/>
      <c r="F14" s="12"/>
    </row>
    <row r="15" spans="1:9" ht="16" thickBot="1" x14ac:dyDescent="0.25"/>
    <row r="16" spans="1:9" x14ac:dyDescent="0.2">
      <c r="A16" s="13"/>
      <c r="B16" s="13" t="s">
        <v>283</v>
      </c>
      <c r="C16" s="13" t="s">
        <v>271</v>
      </c>
      <c r="D16" s="13" t="s">
        <v>284</v>
      </c>
      <c r="E16" s="13" t="s">
        <v>285</v>
      </c>
      <c r="F16" s="13" t="s">
        <v>286</v>
      </c>
      <c r="G16" s="13" t="s">
        <v>287</v>
      </c>
      <c r="H16" s="13" t="s">
        <v>288</v>
      </c>
      <c r="I16" s="13" t="s">
        <v>289</v>
      </c>
    </row>
    <row r="17" spans="1:9" x14ac:dyDescent="0.2">
      <c r="A17" t="s">
        <v>277</v>
      </c>
      <c r="B17">
        <v>-3210047.6277282354</v>
      </c>
      <c r="C17">
        <v>1832387.9688934498</v>
      </c>
      <c r="D17">
        <v>-1.7518384109816725</v>
      </c>
      <c r="E17">
        <v>8.2588524634774202E-2</v>
      </c>
      <c r="F17">
        <v>-6841410.4878783301</v>
      </c>
      <c r="G17">
        <v>421315.23242185876</v>
      </c>
      <c r="H17">
        <v>-6841410.4878783301</v>
      </c>
      <c r="I17">
        <v>421315.23242185876</v>
      </c>
    </row>
    <row r="18" spans="1:9" x14ac:dyDescent="0.2">
      <c r="A18" t="s">
        <v>3</v>
      </c>
      <c r="B18">
        <v>-45287.495815535578</v>
      </c>
      <c r="C18">
        <v>25788.566697514816</v>
      </c>
      <c r="D18">
        <v>-1.7561075164328472</v>
      </c>
      <c r="E18">
        <v>8.1853273699276516E-2</v>
      </c>
      <c r="F18">
        <v>-96394.381972625561</v>
      </c>
      <c r="G18">
        <v>5819.3903415544019</v>
      </c>
      <c r="H18">
        <v>-96394.381972625561</v>
      </c>
      <c r="I18">
        <v>5819.3903415544019</v>
      </c>
    </row>
    <row r="19" spans="1:9" x14ac:dyDescent="0.2">
      <c r="A19" t="s">
        <v>265</v>
      </c>
      <c r="B19">
        <v>1.737205396944318</v>
      </c>
      <c r="C19">
        <v>0.52701127919020152</v>
      </c>
      <c r="D19">
        <v>3.2963343775368235</v>
      </c>
      <c r="E19">
        <v>1.3192130636183394E-3</v>
      </c>
      <c r="F19">
        <v>0.69279274055300522</v>
      </c>
      <c r="G19">
        <v>2.7816180533356309</v>
      </c>
      <c r="H19">
        <v>0.69279274055300522</v>
      </c>
      <c r="I19">
        <v>2.7816180533356309</v>
      </c>
    </row>
    <row r="20" spans="1:9" x14ac:dyDescent="0.2">
      <c r="A20" t="s">
        <v>6</v>
      </c>
      <c r="B20">
        <v>82.540450440871922</v>
      </c>
      <c r="C20">
        <v>23.602038515495558</v>
      </c>
      <c r="D20">
        <v>3.4971746354316493</v>
      </c>
      <c r="E20">
        <v>6.7941411971511232E-4</v>
      </c>
      <c r="F20">
        <v>35.766749923311721</v>
      </c>
      <c r="G20">
        <v>129.31415095843212</v>
      </c>
      <c r="H20">
        <v>35.766749923311721</v>
      </c>
      <c r="I20">
        <v>129.31415095843212</v>
      </c>
    </row>
    <row r="21" spans="1:9" x14ac:dyDescent="0.2">
      <c r="A21" t="s">
        <v>19</v>
      </c>
      <c r="B21">
        <v>71.370406764285491</v>
      </c>
      <c r="C21">
        <v>166.55636862462273</v>
      </c>
      <c r="D21">
        <v>0.42850602083632666</v>
      </c>
      <c r="E21">
        <v>0.66912067316200152</v>
      </c>
      <c r="F21">
        <v>-258.70522209403356</v>
      </c>
      <c r="G21">
        <v>401.44603562260454</v>
      </c>
      <c r="H21">
        <v>-258.70522209403356</v>
      </c>
      <c r="I21">
        <v>401.44603562260454</v>
      </c>
    </row>
    <row r="22" spans="1:9" ht="16" thickBot="1" x14ac:dyDescent="0.25">
      <c r="A22" s="12" t="s">
        <v>53</v>
      </c>
      <c r="B22" s="12">
        <v>-2219.5979512352847</v>
      </c>
      <c r="C22" s="12">
        <v>614.182509978501</v>
      </c>
      <c r="D22" s="12">
        <v>-3.6139061519563298</v>
      </c>
      <c r="E22" s="12">
        <v>4.5638748895066852E-4</v>
      </c>
      <c r="F22" s="12">
        <v>-3436.763526403598</v>
      </c>
      <c r="G22" s="12">
        <v>-1002.4323760669713</v>
      </c>
      <c r="H22" s="12">
        <v>-3436.763526403598</v>
      </c>
      <c r="I22" s="12">
        <v>-1002.4323760669713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759F-41A3-494A-A7A8-5CEB526B53C0}">
  <dimension ref="A1:I22"/>
  <sheetViews>
    <sheetView workbookViewId="0">
      <selection activeCell="D28" sqref="D28"/>
    </sheetView>
  </sheetViews>
  <sheetFormatPr baseColWidth="10" defaultRowHeight="15" x14ac:dyDescent="0.2"/>
  <sheetData>
    <row r="1" spans="1:9" x14ac:dyDescent="0.2">
      <c r="A1" t="s">
        <v>266</v>
      </c>
    </row>
    <row r="2" spans="1:9" ht="16" thickBot="1" x14ac:dyDescent="0.25"/>
    <row r="3" spans="1:9" x14ac:dyDescent="0.2">
      <c r="A3" s="14" t="s">
        <v>267</v>
      </c>
      <c r="B3" s="14"/>
    </row>
    <row r="4" spans="1:9" x14ac:dyDescent="0.2">
      <c r="A4" t="s">
        <v>268</v>
      </c>
      <c r="B4">
        <v>0.77341276276279358</v>
      </c>
    </row>
    <row r="5" spans="1:9" x14ac:dyDescent="0.2">
      <c r="A5" t="s">
        <v>269</v>
      </c>
      <c r="B5">
        <v>0.59816730160437726</v>
      </c>
    </row>
    <row r="6" spans="1:9" x14ac:dyDescent="0.2">
      <c r="A6" t="s">
        <v>270</v>
      </c>
      <c r="B6">
        <v>0.57990217895003082</v>
      </c>
    </row>
    <row r="7" spans="1:9" x14ac:dyDescent="0.2">
      <c r="A7" t="s">
        <v>271</v>
      </c>
      <c r="B7">
        <v>4616.7400696942959</v>
      </c>
    </row>
    <row r="8" spans="1:9" ht="16" thickBot="1" x14ac:dyDescent="0.25">
      <c r="A8" s="12" t="s">
        <v>272</v>
      </c>
      <c r="B8" s="12">
        <v>116</v>
      </c>
    </row>
    <row r="10" spans="1:9" ht="16" thickBot="1" x14ac:dyDescent="0.25">
      <c r="A10" t="s">
        <v>273</v>
      </c>
    </row>
    <row r="11" spans="1:9" x14ac:dyDescent="0.2">
      <c r="A11" s="13"/>
      <c r="B11" s="13" t="s">
        <v>278</v>
      </c>
      <c r="C11" s="13" t="s">
        <v>279</v>
      </c>
      <c r="D11" s="13" t="s">
        <v>280</v>
      </c>
      <c r="E11" s="13" t="s">
        <v>281</v>
      </c>
      <c r="F11" s="13" t="s">
        <v>282</v>
      </c>
    </row>
    <row r="12" spans="1:9" x14ac:dyDescent="0.2">
      <c r="A12" t="s">
        <v>274</v>
      </c>
      <c r="B12">
        <v>5</v>
      </c>
      <c r="C12">
        <v>3490124567.1680808</v>
      </c>
      <c r="D12">
        <v>698024913.43361616</v>
      </c>
      <c r="E12">
        <v>32.749153286525193</v>
      </c>
      <c r="F12">
        <v>2.4948881975942578E-20</v>
      </c>
    </row>
    <row r="13" spans="1:9" x14ac:dyDescent="0.2">
      <c r="A13" t="s">
        <v>275</v>
      </c>
      <c r="B13">
        <v>110</v>
      </c>
      <c r="C13">
        <v>2344571775.823298</v>
      </c>
      <c r="D13">
        <v>21314288.871120892</v>
      </c>
    </row>
    <row r="14" spans="1:9" ht="16" thickBot="1" x14ac:dyDescent="0.25">
      <c r="A14" s="12" t="s">
        <v>276</v>
      </c>
      <c r="B14" s="12">
        <v>115</v>
      </c>
      <c r="C14" s="12">
        <v>5834696342.9913788</v>
      </c>
      <c r="D14" s="12"/>
      <c r="E14" s="12"/>
      <c r="F14" s="12"/>
    </row>
    <row r="15" spans="1:9" ht="16" thickBot="1" x14ac:dyDescent="0.25"/>
    <row r="16" spans="1:9" x14ac:dyDescent="0.2">
      <c r="A16" s="13"/>
      <c r="B16" s="13" t="s">
        <v>283</v>
      </c>
      <c r="C16" s="13" t="s">
        <v>271</v>
      </c>
      <c r="D16" s="13" t="s">
        <v>284</v>
      </c>
      <c r="E16" s="13" t="s">
        <v>285</v>
      </c>
      <c r="F16" s="13" t="s">
        <v>286</v>
      </c>
      <c r="G16" s="13" t="s">
        <v>287</v>
      </c>
      <c r="H16" s="13" t="s">
        <v>288</v>
      </c>
      <c r="I16" s="13" t="s">
        <v>289</v>
      </c>
    </row>
    <row r="17" spans="1:9" x14ac:dyDescent="0.2">
      <c r="A17" t="s">
        <v>277</v>
      </c>
      <c r="B17">
        <v>-2875574.606005257</v>
      </c>
      <c r="C17">
        <v>2090431.2748802563</v>
      </c>
      <c r="D17">
        <v>-1.3755891621789744</v>
      </c>
      <c r="E17">
        <v>0.17174355189014273</v>
      </c>
      <c r="F17">
        <v>-7018318.7312466651</v>
      </c>
      <c r="G17">
        <v>1267169.5192361511</v>
      </c>
      <c r="H17">
        <v>-7018318.7312466651</v>
      </c>
      <c r="I17">
        <v>1267169.5192361511</v>
      </c>
    </row>
    <row r="18" spans="1:9" x14ac:dyDescent="0.2">
      <c r="A18" t="s">
        <v>3</v>
      </c>
      <c r="B18">
        <v>-40595.215412464582</v>
      </c>
      <c r="C18">
        <v>29411.574120001755</v>
      </c>
      <c r="D18">
        <v>-1.3802462679091099</v>
      </c>
      <c r="E18">
        <v>0.1703094402639416</v>
      </c>
      <c r="F18">
        <v>-98882.051896347068</v>
      </c>
      <c r="G18">
        <v>17691.621071417911</v>
      </c>
      <c r="H18">
        <v>-98882.051896347068</v>
      </c>
      <c r="I18">
        <v>17691.621071417911</v>
      </c>
    </row>
    <row r="19" spans="1:9" x14ac:dyDescent="0.2">
      <c r="A19" t="s">
        <v>265</v>
      </c>
      <c r="B19">
        <v>1.6584517957640221</v>
      </c>
      <c r="C19">
        <v>0.48592375453880082</v>
      </c>
      <c r="D19">
        <v>3.4129876966770007</v>
      </c>
      <c r="E19">
        <v>9.0022944616708299E-4</v>
      </c>
      <c r="F19">
        <v>0.6954649692556133</v>
      </c>
      <c r="G19">
        <v>2.6214386222724309</v>
      </c>
      <c r="H19">
        <v>0.6954649692556133</v>
      </c>
      <c r="I19">
        <v>2.6214386222724309</v>
      </c>
    </row>
    <row r="20" spans="1:9" x14ac:dyDescent="0.2">
      <c r="A20" t="s">
        <v>6</v>
      </c>
      <c r="B20">
        <v>82.885070243562581</v>
      </c>
      <c r="C20">
        <v>23.811228663039238</v>
      </c>
      <c r="D20">
        <v>3.4809237026991462</v>
      </c>
      <c r="E20">
        <v>7.1760438006016275E-4</v>
      </c>
      <c r="F20">
        <v>35.696803954236167</v>
      </c>
      <c r="G20">
        <v>130.07333653288899</v>
      </c>
      <c r="H20">
        <v>35.696803954236167</v>
      </c>
      <c r="I20">
        <v>130.07333653288899</v>
      </c>
    </row>
    <row r="21" spans="1:9" x14ac:dyDescent="0.2">
      <c r="A21" t="s">
        <v>55</v>
      </c>
      <c r="B21">
        <v>-423.92525311512708</v>
      </c>
      <c r="C21">
        <v>1241.1326439393781</v>
      </c>
      <c r="D21">
        <v>-0.34156321259070299</v>
      </c>
      <c r="E21">
        <v>0.73333125628672036</v>
      </c>
      <c r="F21">
        <v>-2883.5588373953474</v>
      </c>
      <c r="G21">
        <v>2035.7083311650931</v>
      </c>
      <c r="H21">
        <v>-2883.5588373953474</v>
      </c>
      <c r="I21">
        <v>2035.7083311650931</v>
      </c>
    </row>
    <row r="22" spans="1:9" ht="16" thickBot="1" x14ac:dyDescent="0.25">
      <c r="A22" s="12" t="s">
        <v>53</v>
      </c>
      <c r="B22" s="12">
        <v>-2239.3832705677869</v>
      </c>
      <c r="C22" s="12">
        <v>610.42312382439184</v>
      </c>
      <c r="D22" s="12">
        <v>-3.6685754244330013</v>
      </c>
      <c r="E22" s="12">
        <v>3.776520189922376E-4</v>
      </c>
      <c r="F22" s="12">
        <v>-3449.0986247737574</v>
      </c>
      <c r="G22" s="12">
        <v>-1029.6679163618162</v>
      </c>
      <c r="H22" s="12">
        <v>-3449.0986247737574</v>
      </c>
      <c r="I22" s="12">
        <v>-1029.6679163618162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243E-7B90-6D41-8D74-E779E63C7F66}">
  <dimension ref="A1:I26"/>
  <sheetViews>
    <sheetView workbookViewId="0">
      <selection activeCell="B9" sqref="B9"/>
    </sheetView>
  </sheetViews>
  <sheetFormatPr baseColWidth="10" defaultRowHeight="15" x14ac:dyDescent="0.2"/>
  <sheetData>
    <row r="1" spans="1:9" x14ac:dyDescent="0.2">
      <c r="A1" t="s">
        <v>266</v>
      </c>
    </row>
    <row r="2" spans="1:9" ht="16" thickBot="1" x14ac:dyDescent="0.25"/>
    <row r="3" spans="1:9" x14ac:dyDescent="0.2">
      <c r="A3" s="14" t="s">
        <v>267</v>
      </c>
      <c r="B3" s="14"/>
    </row>
    <row r="4" spans="1:9" x14ac:dyDescent="0.2">
      <c r="A4" t="s">
        <v>268</v>
      </c>
      <c r="B4">
        <v>0.77516618631987666</v>
      </c>
    </row>
    <row r="5" spans="1:9" x14ac:dyDescent="0.2">
      <c r="A5" t="s">
        <v>269</v>
      </c>
      <c r="B5">
        <v>0.60088261641370166</v>
      </c>
    </row>
    <row r="6" spans="1:9" x14ac:dyDescent="0.2">
      <c r="A6" t="s">
        <v>270</v>
      </c>
      <c r="B6">
        <v>0.58274091715977905</v>
      </c>
    </row>
    <row r="7" spans="1:9" x14ac:dyDescent="0.2">
      <c r="A7" t="s">
        <v>271</v>
      </c>
      <c r="B7">
        <v>4601.1152189988006</v>
      </c>
    </row>
    <row r="8" spans="1:9" ht="16" thickBot="1" x14ac:dyDescent="0.25">
      <c r="A8" s="12" t="s">
        <v>272</v>
      </c>
      <c r="B8" s="12">
        <v>116</v>
      </c>
    </row>
    <row r="10" spans="1:9" ht="16" thickBot="1" x14ac:dyDescent="0.25">
      <c r="A10" t="s">
        <v>273</v>
      </c>
    </row>
    <row r="11" spans="1:9" x14ac:dyDescent="0.2">
      <c r="A11" s="13"/>
      <c r="B11" s="13" t="s">
        <v>278</v>
      </c>
      <c r="C11" s="13" t="s">
        <v>279</v>
      </c>
      <c r="D11" s="13" t="s">
        <v>280</v>
      </c>
      <c r="E11" s="13" t="s">
        <v>281</v>
      </c>
      <c r="F11" s="13" t="s">
        <v>282</v>
      </c>
    </row>
    <row r="12" spans="1:9" x14ac:dyDescent="0.2">
      <c r="A12" t="s">
        <v>274</v>
      </c>
      <c r="B12">
        <v>5</v>
      </c>
      <c r="C12">
        <v>3505967604.5561166</v>
      </c>
      <c r="D12">
        <v>701193520.91122329</v>
      </c>
      <c r="E12">
        <v>33.121628134353351</v>
      </c>
      <c r="F12">
        <v>1.729655345311799E-20</v>
      </c>
    </row>
    <row r="13" spans="1:9" x14ac:dyDescent="0.2">
      <c r="A13" t="s">
        <v>275</v>
      </c>
      <c r="B13">
        <v>110</v>
      </c>
      <c r="C13">
        <v>2328728738.4352622</v>
      </c>
      <c r="D13">
        <v>21170261.258502383</v>
      </c>
    </row>
    <row r="14" spans="1:9" ht="16" thickBot="1" x14ac:dyDescent="0.25">
      <c r="A14" s="12" t="s">
        <v>276</v>
      </c>
      <c r="B14" s="12">
        <v>115</v>
      </c>
      <c r="C14" s="12">
        <v>5834696342.9913788</v>
      </c>
      <c r="D14" s="12"/>
      <c r="E14" s="12"/>
      <c r="F14" s="12"/>
    </row>
    <row r="15" spans="1:9" ht="16" thickBot="1" x14ac:dyDescent="0.25"/>
    <row r="16" spans="1:9" x14ac:dyDescent="0.2">
      <c r="A16" s="13"/>
      <c r="B16" s="13" t="s">
        <v>283</v>
      </c>
      <c r="C16" s="13" t="s">
        <v>271</v>
      </c>
      <c r="D16" s="13" t="s">
        <v>284</v>
      </c>
      <c r="E16" s="13" t="s">
        <v>285</v>
      </c>
      <c r="F16" s="13" t="s">
        <v>286</v>
      </c>
      <c r="G16" s="13" t="s">
        <v>287</v>
      </c>
      <c r="H16" s="13" t="s">
        <v>288</v>
      </c>
      <c r="I16" s="13" t="s">
        <v>289</v>
      </c>
    </row>
    <row r="17" spans="1:9" x14ac:dyDescent="0.2">
      <c r="A17" t="s">
        <v>277</v>
      </c>
      <c r="B17">
        <v>-5872702.132757375</v>
      </c>
      <c r="C17">
        <v>3386786.1638912484</v>
      </c>
      <c r="D17">
        <v>-1.734004406705717</v>
      </c>
      <c r="E17">
        <v>8.571890863278489E-2</v>
      </c>
      <c r="F17">
        <v>-12584517.370363334</v>
      </c>
      <c r="G17">
        <v>839113.10484858369</v>
      </c>
      <c r="H17">
        <v>-12584517.370363334</v>
      </c>
      <c r="I17">
        <v>839113.10484858369</v>
      </c>
    </row>
    <row r="18" spans="1:9" x14ac:dyDescent="0.2">
      <c r="A18" t="s">
        <v>3</v>
      </c>
      <c r="B18">
        <v>-82802.602408402556</v>
      </c>
      <c r="C18">
        <v>47694.100209866934</v>
      </c>
      <c r="D18">
        <v>-1.7361183467986339</v>
      </c>
      <c r="E18">
        <v>8.5342846217598051E-2</v>
      </c>
      <c r="F18">
        <v>-177321.1143668592</v>
      </c>
      <c r="G18">
        <v>11715.909550054081</v>
      </c>
      <c r="H18">
        <v>-177321.1143668592</v>
      </c>
      <c r="I18">
        <v>11715.909550054081</v>
      </c>
    </row>
    <row r="19" spans="1:9" x14ac:dyDescent="0.2">
      <c r="A19" t="s">
        <v>265</v>
      </c>
      <c r="B19">
        <v>1.4524243274207376</v>
      </c>
      <c r="C19">
        <v>0.52751844072730303</v>
      </c>
      <c r="D19">
        <v>2.7533147948690542</v>
      </c>
      <c r="E19">
        <v>6.9036105558032421E-3</v>
      </c>
      <c r="F19">
        <v>0.40700659590276417</v>
      </c>
      <c r="G19">
        <v>2.4978420589387111</v>
      </c>
      <c r="H19">
        <v>0.40700659590276417</v>
      </c>
      <c r="I19">
        <v>2.4978420589387111</v>
      </c>
    </row>
    <row r="20" spans="1:9" x14ac:dyDescent="0.2">
      <c r="A20" t="s">
        <v>6</v>
      </c>
      <c r="B20">
        <v>79.303307463445094</v>
      </c>
      <c r="C20">
        <v>23.550206270931774</v>
      </c>
      <c r="D20">
        <v>3.3674145589684223</v>
      </c>
      <c r="E20">
        <v>1.0463132053496118E-3</v>
      </c>
      <c r="F20">
        <v>32.632326288656394</v>
      </c>
      <c r="G20">
        <v>125.97428863823379</v>
      </c>
      <c r="H20">
        <v>32.632326288656394</v>
      </c>
      <c r="I20">
        <v>125.97428863823379</v>
      </c>
    </row>
    <row r="21" spans="1:9" x14ac:dyDescent="0.2">
      <c r="A21" t="s">
        <v>263</v>
      </c>
      <c r="B21">
        <v>1812.5060262774234</v>
      </c>
      <c r="C21">
        <v>1947.8932374264425</v>
      </c>
      <c r="D21">
        <v>0.93049556898308616</v>
      </c>
      <c r="E21">
        <v>0.35415216657411419</v>
      </c>
      <c r="F21">
        <v>-2047.7611649547327</v>
      </c>
      <c r="G21">
        <v>5672.7732175095798</v>
      </c>
      <c r="H21">
        <v>-2047.7611649547327</v>
      </c>
      <c r="I21">
        <v>5672.7732175095798</v>
      </c>
    </row>
    <row r="22" spans="1:9" ht="16" thickBot="1" x14ac:dyDescent="0.25">
      <c r="A22" s="12" t="s">
        <v>53</v>
      </c>
      <c r="B22" s="12">
        <v>-4457.3239425699812</v>
      </c>
      <c r="C22" s="12">
        <v>2400.3384905774624</v>
      </c>
      <c r="D22" s="12">
        <v>-1.8569564084678984</v>
      </c>
      <c r="E22" s="12">
        <v>6.599270636731458E-2</v>
      </c>
      <c r="F22" s="12">
        <v>-9214.2314285624216</v>
      </c>
      <c r="G22" s="12">
        <v>299.58354342245894</v>
      </c>
      <c r="H22" s="12">
        <v>-9214.2314285624216</v>
      </c>
      <c r="I22" s="12">
        <v>299.58354342245894</v>
      </c>
    </row>
    <row r="26" spans="1:9" x14ac:dyDescent="0.2">
      <c r="B26" t="s">
        <v>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3F5A-0611-404F-85DD-F4CBC25A1253}">
  <dimension ref="A1:B31"/>
  <sheetViews>
    <sheetView workbookViewId="0">
      <selection activeCell="C20" sqref="C20"/>
    </sheetView>
  </sheetViews>
  <sheetFormatPr baseColWidth="10" defaultRowHeight="15" x14ac:dyDescent="0.2"/>
  <cols>
    <col min="1" max="1" width="63.33203125" customWidth="1"/>
    <col min="2" max="2" width="17.5" customWidth="1"/>
    <col min="3" max="3" width="10.6640625" customWidth="1"/>
    <col min="4" max="4" width="10.83203125" customWidth="1"/>
    <col min="5" max="5" width="0.1640625" customWidth="1"/>
  </cols>
  <sheetData>
    <row r="1" spans="1:2" x14ac:dyDescent="0.2">
      <c r="A1" s="14" t="s">
        <v>303</v>
      </c>
      <c r="B1" s="14"/>
    </row>
    <row r="3" spans="1:2" x14ac:dyDescent="0.2">
      <c r="A3" t="s">
        <v>291</v>
      </c>
      <c r="B3">
        <v>2.0188895969591112</v>
      </c>
    </row>
    <row r="4" spans="1:2" x14ac:dyDescent="0.2">
      <c r="A4" t="s">
        <v>271</v>
      </c>
      <c r="B4">
        <v>0.13441927374780496</v>
      </c>
    </row>
    <row r="5" spans="1:2" x14ac:dyDescent="0.2">
      <c r="A5" t="s">
        <v>292</v>
      </c>
      <c r="B5">
        <v>1.4510234899529313</v>
      </c>
    </row>
    <row r="6" spans="1:2" x14ac:dyDescent="0.2">
      <c r="A6" t="s">
        <v>293</v>
      </c>
      <c r="B6">
        <v>1.2045524813601851</v>
      </c>
    </row>
    <row r="7" spans="1:2" x14ac:dyDescent="0.2">
      <c r="A7" t="s">
        <v>294</v>
      </c>
      <c r="B7">
        <v>1.4477398847745164</v>
      </c>
    </row>
    <row r="8" spans="1:2" x14ac:dyDescent="0.2">
      <c r="A8" t="s">
        <v>295</v>
      </c>
      <c r="B8">
        <v>2.0959507739669303</v>
      </c>
    </row>
    <row r="9" spans="1:2" x14ac:dyDescent="0.2">
      <c r="A9" t="s">
        <v>296</v>
      </c>
      <c r="B9">
        <v>-0.39412006933997201</v>
      </c>
    </row>
    <row r="10" spans="1:2" x14ac:dyDescent="0.2">
      <c r="A10" t="s">
        <v>297</v>
      </c>
      <c r="B10">
        <v>0.82977070732248426</v>
      </c>
    </row>
    <row r="11" spans="1:2" x14ac:dyDescent="0.2">
      <c r="A11" t="s">
        <v>298</v>
      </c>
      <c r="B11">
        <v>6.1387039818985665</v>
      </c>
    </row>
    <row r="12" spans="1:2" x14ac:dyDescent="0.2">
      <c r="A12" t="s">
        <v>299</v>
      </c>
      <c r="B12">
        <v>0.14661249552280328</v>
      </c>
    </row>
    <row r="13" spans="1:2" x14ac:dyDescent="0.2">
      <c r="A13" t="s">
        <v>300</v>
      </c>
      <c r="B13">
        <v>6.2853164774213699</v>
      </c>
    </row>
    <row r="14" spans="1:2" x14ac:dyDescent="0.2">
      <c r="A14" t="s">
        <v>301</v>
      </c>
      <c r="B14">
        <v>234.19119324725688</v>
      </c>
    </row>
    <row r="15" spans="1:2" ht="16" thickBot="1" x14ac:dyDescent="0.25">
      <c r="A15" s="12" t="s">
        <v>302</v>
      </c>
      <c r="B15" s="12">
        <v>116</v>
      </c>
    </row>
    <row r="16" spans="1:2" ht="16" thickBot="1" x14ac:dyDescent="0.25"/>
    <row r="17" spans="1:2" x14ac:dyDescent="0.2">
      <c r="A17" s="14" t="s">
        <v>304</v>
      </c>
      <c r="B17" s="14"/>
    </row>
    <row r="19" spans="1:2" x14ac:dyDescent="0.2">
      <c r="A19" t="s">
        <v>291</v>
      </c>
      <c r="B19">
        <v>1.1263145549514346E-2</v>
      </c>
    </row>
    <row r="20" spans="1:2" x14ac:dyDescent="0.2">
      <c r="A20" t="s">
        <v>271</v>
      </c>
      <c r="B20">
        <v>5.2446208587881801E-4</v>
      </c>
    </row>
    <row r="21" spans="1:2" x14ac:dyDescent="0.2">
      <c r="A21" t="s">
        <v>292</v>
      </c>
      <c r="B21">
        <v>1.1532951289398281E-2</v>
      </c>
    </row>
    <row r="22" spans="1:2" x14ac:dyDescent="0.2">
      <c r="A22" t="s">
        <v>293</v>
      </c>
      <c r="B22">
        <v>2.5563063063063062E-2</v>
      </c>
    </row>
    <row r="23" spans="1:2" x14ac:dyDescent="0.2">
      <c r="A23" t="s">
        <v>294</v>
      </c>
      <c r="B23">
        <v>5.6486295351019294E-3</v>
      </c>
    </row>
    <row r="24" spans="1:2" x14ac:dyDescent="0.2">
      <c r="A24" t="s">
        <v>295</v>
      </c>
      <c r="B24">
        <v>3.190701562482584E-5</v>
      </c>
    </row>
    <row r="25" spans="1:2" x14ac:dyDescent="0.2">
      <c r="A25" t="s">
        <v>296</v>
      </c>
      <c r="B25">
        <v>0.32608634868703312</v>
      </c>
    </row>
    <row r="26" spans="1:2" x14ac:dyDescent="0.2">
      <c r="A26" t="s">
        <v>297</v>
      </c>
      <c r="B26">
        <v>0.77455235141228618</v>
      </c>
    </row>
    <row r="27" spans="1:2" x14ac:dyDescent="0.2">
      <c r="A27" t="s">
        <v>298</v>
      </c>
      <c r="B27">
        <v>2.5563063063063062E-2</v>
      </c>
    </row>
    <row r="28" spans="1:2" x14ac:dyDescent="0.2">
      <c r="A28" t="s">
        <v>299</v>
      </c>
      <c r="B28">
        <v>0</v>
      </c>
    </row>
    <row r="29" spans="1:2" x14ac:dyDescent="0.2">
      <c r="A29" t="s">
        <v>300</v>
      </c>
      <c r="B29">
        <v>2.5563063063063062E-2</v>
      </c>
    </row>
    <row r="30" spans="1:2" x14ac:dyDescent="0.2">
      <c r="A30" t="s">
        <v>301</v>
      </c>
      <c r="B30">
        <v>1.306524883743664</v>
      </c>
    </row>
    <row r="31" spans="1:2" ht="16" thickBot="1" x14ac:dyDescent="0.25">
      <c r="A31" s="12" t="s">
        <v>302</v>
      </c>
      <c r="B31" s="12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A81F-D787-9F43-8ABF-107C3B4BBB10}">
  <dimension ref="A1:J25"/>
  <sheetViews>
    <sheetView tabSelected="1" workbookViewId="0">
      <selection activeCell="A16" sqref="A16:F25"/>
    </sheetView>
  </sheetViews>
  <sheetFormatPr baseColWidth="10" defaultRowHeight="15" x14ac:dyDescent="0.2"/>
  <cols>
    <col min="2" max="2" width="10.83203125" style="20"/>
    <col min="3" max="3" width="12.1640625" customWidth="1"/>
    <col min="4" max="4" width="11.6640625" style="20" bestFit="1" customWidth="1"/>
    <col min="5" max="5" width="10.6640625" customWidth="1"/>
    <col min="6" max="6" width="15.1640625" customWidth="1"/>
  </cols>
  <sheetData>
    <row r="1" spans="1:10" x14ac:dyDescent="0.2">
      <c r="A1" s="17"/>
      <c r="B1" s="17" t="s">
        <v>306</v>
      </c>
      <c r="C1" s="17" t="s">
        <v>265</v>
      </c>
      <c r="D1" s="17" t="s">
        <v>3</v>
      </c>
      <c r="E1" s="17" t="s">
        <v>6</v>
      </c>
      <c r="F1" s="17" t="s">
        <v>53</v>
      </c>
      <c r="G1" s="17"/>
      <c r="H1" s="17"/>
      <c r="I1" s="17"/>
      <c r="J1" s="17"/>
    </row>
    <row r="2" spans="1:10" x14ac:dyDescent="0.2">
      <c r="A2" s="15" t="s">
        <v>291</v>
      </c>
      <c r="B2" s="18">
        <v>2.0188895969591112</v>
      </c>
      <c r="C2" s="18">
        <v>971.42241379310349</v>
      </c>
      <c r="D2" s="18">
        <v>-71.131454431034456</v>
      </c>
      <c r="E2" s="18">
        <v>36.541349727241375</v>
      </c>
      <c r="F2" s="18">
        <v>3.9637982508620686</v>
      </c>
      <c r="G2" s="15"/>
      <c r="H2" s="15"/>
      <c r="I2" s="15"/>
      <c r="J2" s="15"/>
    </row>
    <row r="3" spans="1:10" x14ac:dyDescent="0.2">
      <c r="A3" s="15" t="s">
        <v>271</v>
      </c>
      <c r="B3" s="18">
        <v>0.13441927374780496</v>
      </c>
      <c r="C3" s="18">
        <v>101.09420855384224</v>
      </c>
      <c r="D3" s="18">
        <v>3.1012400396521816E-3</v>
      </c>
      <c r="E3" s="18">
        <v>2.2410311829656693</v>
      </c>
      <c r="F3" s="18">
        <v>0.16072694655820594</v>
      </c>
      <c r="G3" s="15"/>
      <c r="H3" s="15"/>
      <c r="I3" s="15"/>
      <c r="J3" s="15"/>
    </row>
    <row r="4" spans="1:10" x14ac:dyDescent="0.2">
      <c r="A4" s="15" t="s">
        <v>292</v>
      </c>
      <c r="B4" s="18">
        <v>1.4510234899529313</v>
      </c>
      <c r="C4" s="18">
        <v>555</v>
      </c>
      <c r="D4" s="18">
        <v>-71.126480000000001</v>
      </c>
      <c r="E4" s="18">
        <v>30.380568</v>
      </c>
      <c r="F4" s="18">
        <v>3.4620907000000001</v>
      </c>
      <c r="G4" s="15"/>
      <c r="H4" s="15"/>
      <c r="I4" s="15"/>
      <c r="J4" s="15"/>
    </row>
    <row r="5" spans="1:10" x14ac:dyDescent="0.2">
      <c r="A5" s="15" t="s">
        <v>293</v>
      </c>
      <c r="B5" s="18">
        <v>1.2045524813601851</v>
      </c>
      <c r="C5" s="18">
        <v>915</v>
      </c>
      <c r="D5" s="18">
        <v>-71.126480000000001</v>
      </c>
      <c r="E5" s="18">
        <v>5.6315502999999998</v>
      </c>
      <c r="F5" s="18">
        <v>3.1596172</v>
      </c>
      <c r="G5" s="15"/>
      <c r="H5" s="15"/>
      <c r="I5" s="15"/>
      <c r="J5" s="15"/>
    </row>
    <row r="6" spans="1:10" x14ac:dyDescent="0.2">
      <c r="A6" s="15" t="s">
        <v>294</v>
      </c>
      <c r="B6" s="18">
        <v>1.4477398847745164</v>
      </c>
      <c r="C6" s="18">
        <v>1088.8179482185342</v>
      </c>
      <c r="D6" s="18">
        <v>3.3401377440022681E-2</v>
      </c>
      <c r="E6" s="18">
        <v>24.136644516395453</v>
      </c>
      <c r="F6" s="18">
        <v>1.7310821923268775</v>
      </c>
      <c r="G6" s="15"/>
      <c r="H6" s="15"/>
      <c r="I6" s="15"/>
      <c r="J6" s="15"/>
    </row>
    <row r="7" spans="1:10" x14ac:dyDescent="0.2">
      <c r="A7" s="15" t="s">
        <v>295</v>
      </c>
      <c r="B7" s="18">
        <v>2.0959507739669303</v>
      </c>
      <c r="C7" s="18">
        <v>1185524.5243628186</v>
      </c>
      <c r="D7" s="18">
        <v>1.1156520148908559E-3</v>
      </c>
      <c r="E7" s="18">
        <v>582.57760851084277</v>
      </c>
      <c r="F7" s="18">
        <v>2.9966455565912287</v>
      </c>
      <c r="G7" s="15"/>
      <c r="H7" s="15"/>
      <c r="I7" s="15"/>
      <c r="J7" s="15"/>
    </row>
    <row r="8" spans="1:10" x14ac:dyDescent="0.2">
      <c r="A8" s="15" t="s">
        <v>296</v>
      </c>
      <c r="B8" s="18">
        <v>-0.39412006933997201</v>
      </c>
      <c r="C8" s="18">
        <v>4.0726504520433817</v>
      </c>
      <c r="D8" s="18">
        <v>1.3456308424589412</v>
      </c>
      <c r="E8" s="18">
        <v>1.4485173315890427</v>
      </c>
      <c r="F8" s="18">
        <v>5.9331540157876894E-2</v>
      </c>
      <c r="G8" s="15"/>
      <c r="H8" s="15"/>
      <c r="I8" s="15"/>
      <c r="J8" s="15"/>
    </row>
    <row r="9" spans="1:10" x14ac:dyDescent="0.2">
      <c r="A9" s="15" t="s">
        <v>297</v>
      </c>
      <c r="B9" s="18">
        <v>0.82977070732248426</v>
      </c>
      <c r="C9" s="18">
        <v>2.1223241227758409</v>
      </c>
      <c r="D9" s="18">
        <v>-1.3071724936815521</v>
      </c>
      <c r="E9" s="18">
        <v>0.98021839655037235</v>
      </c>
      <c r="F9" s="18">
        <v>0.84551412186522401</v>
      </c>
      <c r="G9" s="15"/>
      <c r="H9" s="15"/>
      <c r="I9" s="15"/>
      <c r="J9" s="15"/>
    </row>
    <row r="10" spans="1:10" x14ac:dyDescent="0.2">
      <c r="A10" s="15" t="s">
        <v>298</v>
      </c>
      <c r="B10" s="18">
        <v>6.1387039818985665</v>
      </c>
      <c r="C10" s="18">
        <v>4823</v>
      </c>
      <c r="D10" s="18">
        <v>0.1610639999999961</v>
      </c>
      <c r="E10" s="18">
        <v>133.92491854000002</v>
      </c>
      <c r="F10" s="18">
        <v>7.8454634999999993</v>
      </c>
      <c r="G10" s="15"/>
      <c r="H10" s="15"/>
      <c r="I10" s="15"/>
      <c r="J10" s="15"/>
    </row>
    <row r="11" spans="1:10" x14ac:dyDescent="0.2">
      <c r="A11" s="15" t="s">
        <v>299</v>
      </c>
      <c r="B11" s="18">
        <v>0.14661249552280328</v>
      </c>
      <c r="C11" s="18">
        <v>23</v>
      </c>
      <c r="D11" s="18">
        <v>-71.248290999999995</v>
      </c>
      <c r="E11" s="18">
        <v>0.21686146000000001</v>
      </c>
      <c r="F11" s="18">
        <v>1.4851048</v>
      </c>
      <c r="G11" s="15"/>
      <c r="H11" s="15"/>
      <c r="I11" s="15"/>
      <c r="J11" s="15"/>
    </row>
    <row r="12" spans="1:10" x14ac:dyDescent="0.2">
      <c r="A12" s="15" t="s">
        <v>300</v>
      </c>
      <c r="B12" s="18">
        <v>6.2853164774213699</v>
      </c>
      <c r="C12" s="18">
        <v>4846</v>
      </c>
      <c r="D12" s="18">
        <v>-71.087226999999999</v>
      </c>
      <c r="E12" s="18">
        <v>134.14178000000001</v>
      </c>
      <c r="F12" s="18">
        <v>9.3305682999999995</v>
      </c>
      <c r="G12" s="15"/>
      <c r="H12" s="15"/>
      <c r="I12" s="15"/>
      <c r="J12" s="15"/>
    </row>
    <row r="13" spans="1:10" x14ac:dyDescent="0.2">
      <c r="A13" s="15" t="s">
        <v>301</v>
      </c>
      <c r="B13" s="18">
        <v>234.19119324725688</v>
      </c>
      <c r="C13" s="18">
        <v>112685</v>
      </c>
      <c r="D13" s="18">
        <v>-8251.2487139999976</v>
      </c>
      <c r="E13" s="18">
        <v>4238.7965683599996</v>
      </c>
      <c r="F13" s="18">
        <v>459.80059709999995</v>
      </c>
      <c r="G13" s="15"/>
      <c r="H13" s="15"/>
      <c r="I13" s="15"/>
      <c r="J13" s="15"/>
    </row>
    <row r="14" spans="1:10" ht="16" thickBot="1" x14ac:dyDescent="0.25">
      <c r="A14" s="16" t="s">
        <v>302</v>
      </c>
      <c r="B14" s="19">
        <v>116</v>
      </c>
      <c r="C14" s="19">
        <v>116</v>
      </c>
      <c r="D14" s="19">
        <v>116</v>
      </c>
      <c r="E14" s="19">
        <v>116</v>
      </c>
      <c r="F14" s="19">
        <v>116</v>
      </c>
      <c r="G14" s="16"/>
      <c r="H14" s="16"/>
      <c r="I14" s="16"/>
      <c r="J14" s="16"/>
    </row>
    <row r="15" spans="1:10" ht="16" thickBot="1" x14ac:dyDescent="0.25"/>
    <row r="16" spans="1:10" x14ac:dyDescent="0.2">
      <c r="A16" s="17"/>
      <c r="B16" s="17" t="s">
        <v>306</v>
      </c>
      <c r="C16" s="17" t="s">
        <v>265</v>
      </c>
      <c r="D16" s="17" t="s">
        <v>3</v>
      </c>
      <c r="E16" s="17" t="s">
        <v>6</v>
      </c>
      <c r="F16" s="17" t="s">
        <v>53</v>
      </c>
    </row>
    <row r="17" spans="1:6" x14ac:dyDescent="0.2">
      <c r="A17" s="15" t="s">
        <v>291</v>
      </c>
      <c r="B17" s="18">
        <v>2.0188895969591112</v>
      </c>
      <c r="C17" s="18">
        <v>971.42241379310349</v>
      </c>
      <c r="D17" s="18">
        <v>-71.131454431034456</v>
      </c>
      <c r="E17" s="18">
        <v>36.541349727241375</v>
      </c>
      <c r="F17" s="18">
        <v>3.9637982508620686</v>
      </c>
    </row>
    <row r="18" spans="1:6" x14ac:dyDescent="0.2">
      <c r="A18" s="15" t="s">
        <v>271</v>
      </c>
      <c r="B18" s="18">
        <v>0.13441927374780496</v>
      </c>
      <c r="C18" s="18">
        <v>101.09420855384224</v>
      </c>
      <c r="D18" s="18">
        <v>3.1012400396521816E-3</v>
      </c>
      <c r="E18" s="18">
        <v>2.2410311829656693</v>
      </c>
      <c r="F18" s="18">
        <v>0.16072694655820594</v>
      </c>
    </row>
    <row r="19" spans="1:6" x14ac:dyDescent="0.2">
      <c r="A19" s="15" t="s">
        <v>292</v>
      </c>
      <c r="B19" s="18">
        <v>1.4510234899529313</v>
      </c>
      <c r="C19" s="18">
        <v>555</v>
      </c>
      <c r="D19" s="18">
        <v>-71.126480000000001</v>
      </c>
      <c r="E19" s="18">
        <v>30.380568</v>
      </c>
      <c r="F19" s="18">
        <v>3.4620907000000001</v>
      </c>
    </row>
    <row r="20" spans="1:6" x14ac:dyDescent="0.2">
      <c r="A20" s="15" t="s">
        <v>293</v>
      </c>
      <c r="B20" s="18">
        <v>1.2045524813601851</v>
      </c>
      <c r="C20" s="18">
        <v>915</v>
      </c>
      <c r="D20" s="18">
        <v>-71.126480000000001</v>
      </c>
      <c r="E20" s="18">
        <v>5.6315502999999998</v>
      </c>
      <c r="F20" s="18">
        <v>3.1596172</v>
      </c>
    </row>
    <row r="21" spans="1:6" x14ac:dyDescent="0.2">
      <c r="A21" s="15" t="s">
        <v>294</v>
      </c>
      <c r="B21" s="18">
        <v>1.4477398847745164</v>
      </c>
      <c r="C21" s="18">
        <v>1088.8179482185342</v>
      </c>
      <c r="D21" s="18">
        <v>3.3401377440022681E-2</v>
      </c>
      <c r="E21" s="18">
        <v>24.136644516395453</v>
      </c>
      <c r="F21" s="18">
        <v>1.7310821923268775</v>
      </c>
    </row>
    <row r="22" spans="1:6" x14ac:dyDescent="0.2">
      <c r="A22" s="15" t="s">
        <v>299</v>
      </c>
      <c r="B22" s="18">
        <v>0.14661249552280328</v>
      </c>
      <c r="C22" s="18">
        <v>23</v>
      </c>
      <c r="D22" s="18">
        <v>-71.248290999999995</v>
      </c>
      <c r="E22" s="18">
        <v>0.21686146000000001</v>
      </c>
      <c r="F22" s="18">
        <v>1.4851048</v>
      </c>
    </row>
    <row r="23" spans="1:6" x14ac:dyDescent="0.2">
      <c r="A23" s="15" t="s">
        <v>300</v>
      </c>
      <c r="B23" s="18">
        <v>6.2853164774213699</v>
      </c>
      <c r="C23" s="18">
        <v>4846</v>
      </c>
      <c r="D23" s="18">
        <v>-71.087226999999999</v>
      </c>
      <c r="E23" s="18">
        <v>134.14178000000001</v>
      </c>
      <c r="F23" s="18">
        <v>9.3305682999999995</v>
      </c>
    </row>
    <row r="24" spans="1:6" x14ac:dyDescent="0.2">
      <c r="A24" s="15" t="s">
        <v>301</v>
      </c>
      <c r="B24" s="18">
        <v>234.19119324725688</v>
      </c>
      <c r="C24" s="18">
        <v>112685</v>
      </c>
      <c r="D24" s="18">
        <v>-8251.2487139999976</v>
      </c>
      <c r="E24" s="18">
        <v>4238.7965683599996</v>
      </c>
      <c r="F24" s="18">
        <v>459.80059709999995</v>
      </c>
    </row>
    <row r="25" spans="1:6" ht="16" thickBot="1" x14ac:dyDescent="0.25">
      <c r="A25" s="16" t="s">
        <v>302</v>
      </c>
      <c r="B25" s="19">
        <v>116</v>
      </c>
      <c r="C25" s="19">
        <v>116</v>
      </c>
      <c r="D25" s="19">
        <v>116</v>
      </c>
      <c r="E25" s="19">
        <v>116</v>
      </c>
      <c r="F25" s="19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3E3C-5ECD-4015-A3CD-5BA39E70C009}">
  <dimension ref="A1:BV126"/>
  <sheetViews>
    <sheetView topLeftCell="BM1" zoomScale="84" workbookViewId="0">
      <selection activeCell="BR2" sqref="BR2"/>
    </sheetView>
  </sheetViews>
  <sheetFormatPr baseColWidth="10" defaultColWidth="8.83203125" defaultRowHeight="15" x14ac:dyDescent="0.2"/>
  <cols>
    <col min="11" max="11" width="16.5" customWidth="1"/>
    <col min="20" max="20" width="8.83203125" customWidth="1"/>
    <col min="61" max="61" width="17.5" customWidth="1"/>
    <col min="62" max="62" width="47.33203125" customWidth="1"/>
    <col min="63" max="63" width="25.33203125" customWidth="1"/>
    <col min="64" max="64" width="11.1640625" customWidth="1"/>
    <col min="65" max="65" width="15.83203125" customWidth="1"/>
    <col min="71" max="71" width="10.83203125" customWidth="1"/>
    <col min="74" max="74" width="15.5" customWidth="1"/>
  </cols>
  <sheetData>
    <row r="1" spans="1:7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263</v>
      </c>
      <c r="BK1" s="2" t="s">
        <v>264</v>
      </c>
      <c r="BL1" s="2" t="s">
        <v>265</v>
      </c>
      <c r="BM1" s="2" t="s">
        <v>290</v>
      </c>
      <c r="BQ1" s="2" t="s">
        <v>1</v>
      </c>
      <c r="BR1" s="2" t="s">
        <v>263</v>
      </c>
      <c r="BS1" s="11" t="s">
        <v>265</v>
      </c>
      <c r="BT1" s="2" t="s">
        <v>3</v>
      </c>
      <c r="BU1" s="2" t="s">
        <v>6</v>
      </c>
      <c r="BV1" s="2" t="s">
        <v>53</v>
      </c>
    </row>
    <row r="2" spans="1:74" x14ac:dyDescent="0.2">
      <c r="A2" t="s">
        <v>61</v>
      </c>
      <c r="B2">
        <v>8664</v>
      </c>
      <c r="C2">
        <v>42.346809</v>
      </c>
      <c r="D2">
        <v>-71.112633000000002</v>
      </c>
      <c r="E2">
        <v>215.88</v>
      </c>
      <c r="F2">
        <v>2657</v>
      </c>
      <c r="G2">
        <v>25.699463000000002</v>
      </c>
      <c r="H2">
        <v>4001</v>
      </c>
      <c r="I2">
        <v>4</v>
      </c>
      <c r="J2" t="s">
        <v>62</v>
      </c>
      <c r="K2" t="s">
        <v>63</v>
      </c>
      <c r="L2">
        <v>4.1317420000000001E-2</v>
      </c>
      <c r="M2">
        <v>3</v>
      </c>
      <c r="N2">
        <v>3056</v>
      </c>
      <c r="O2">
        <v>27</v>
      </c>
      <c r="P2">
        <v>22.7</v>
      </c>
      <c r="Q2">
        <v>4.3</v>
      </c>
      <c r="R2">
        <v>16.100000000000001</v>
      </c>
      <c r="S2">
        <v>32.299999999999997</v>
      </c>
      <c r="T2">
        <v>4.4000000000000004</v>
      </c>
      <c r="U2">
        <v>0.6</v>
      </c>
      <c r="V2">
        <v>19.8</v>
      </c>
      <c r="W2">
        <v>0.106</v>
      </c>
      <c r="X2">
        <v>0.253</v>
      </c>
      <c r="Y2">
        <v>0.14599999999999999</v>
      </c>
      <c r="Z2">
        <v>0.112</v>
      </c>
      <c r="AA2">
        <v>8.1000000000000003E-2</v>
      </c>
      <c r="AB2">
        <v>0.13700000000000001</v>
      </c>
      <c r="AC2">
        <v>6.6000000000000003E-2</v>
      </c>
      <c r="AD2">
        <v>5.8999999999999997E-2</v>
      </c>
      <c r="AE2">
        <v>3.7999999999999999E-2</v>
      </c>
      <c r="AF2">
        <v>21.9</v>
      </c>
      <c r="AG2">
        <v>5314</v>
      </c>
      <c r="AH2">
        <v>306</v>
      </c>
      <c r="AI2">
        <v>168</v>
      </c>
      <c r="AJ2">
        <v>236</v>
      </c>
      <c r="AK2">
        <v>130</v>
      </c>
      <c r="AL2">
        <v>679</v>
      </c>
      <c r="AM2">
        <v>716</v>
      </c>
      <c r="AN2">
        <v>574</v>
      </c>
      <c r="AO2">
        <v>397</v>
      </c>
      <c r="AP2">
        <v>334</v>
      </c>
      <c r="AQ2">
        <v>221</v>
      </c>
      <c r="AR2">
        <v>52</v>
      </c>
      <c r="AS2">
        <v>329</v>
      </c>
      <c r="AT2">
        <v>455</v>
      </c>
      <c r="AU2">
        <v>184</v>
      </c>
      <c r="AV2">
        <v>225</v>
      </c>
      <c r="AW2">
        <v>152</v>
      </c>
      <c r="AX2">
        <v>142</v>
      </c>
      <c r="AY2">
        <v>14</v>
      </c>
      <c r="AZ2">
        <v>33.299999999999997</v>
      </c>
      <c r="BA2">
        <v>67.2</v>
      </c>
      <c r="BB2">
        <v>2.4642935000000001</v>
      </c>
      <c r="BC2">
        <v>0.71859616000000004</v>
      </c>
      <c r="BD2">
        <v>0</v>
      </c>
      <c r="BE2">
        <v>0</v>
      </c>
      <c r="BF2">
        <v>0</v>
      </c>
      <c r="BG2">
        <v>3</v>
      </c>
      <c r="BH2">
        <v>0</v>
      </c>
      <c r="BI2">
        <v>14035</v>
      </c>
      <c r="BJ2">
        <f>ACOS((SIN(C2*PI()/180)*SIN(42.34989*PI()/180)+COS(C2*PI()/180)*COS(42.34989*PI()/180)*COS((-71.1068)*PI()/180-D2*PI()/180)) ) *3443.8985</f>
        <v>0.31849467378944368</v>
      </c>
      <c r="BK2" s="10">
        <f>V2/N2</f>
        <v>6.4790575916230369E-3</v>
      </c>
      <c r="BL2">
        <f>AK2+AL2</f>
        <v>809</v>
      </c>
      <c r="BM2">
        <f>IF(LEFT(K2,1)="G",1,0)</f>
        <v>1</v>
      </c>
      <c r="BQ2">
        <v>8664</v>
      </c>
      <c r="BR2">
        <v>0.31849467378944368</v>
      </c>
      <c r="BS2">
        <v>809</v>
      </c>
      <c r="BT2">
        <v>-71.112633000000002</v>
      </c>
      <c r="BU2">
        <v>25.699463000000002</v>
      </c>
      <c r="BV2">
        <v>2.4642935000000001</v>
      </c>
    </row>
    <row r="3" spans="1:74" x14ac:dyDescent="0.2">
      <c r="A3" t="s">
        <v>64</v>
      </c>
      <c r="B3">
        <v>12878</v>
      </c>
      <c r="C3">
        <v>42.363678</v>
      </c>
      <c r="D3">
        <v>-71.126480000000001</v>
      </c>
      <c r="E3">
        <v>350.17000999999999</v>
      </c>
      <c r="F3">
        <v>1055</v>
      </c>
      <c r="G3">
        <v>5.6315502999999998</v>
      </c>
      <c r="H3">
        <v>8.06</v>
      </c>
      <c r="I3">
        <v>10</v>
      </c>
      <c r="J3" t="s">
        <v>65</v>
      </c>
      <c r="K3" t="s">
        <v>66</v>
      </c>
      <c r="L3">
        <v>0.88227796999999997</v>
      </c>
      <c r="M3">
        <v>0</v>
      </c>
      <c r="N3">
        <v>888</v>
      </c>
      <c r="O3">
        <v>30.6</v>
      </c>
      <c r="P3">
        <v>30.6</v>
      </c>
      <c r="Q3">
        <v>0</v>
      </c>
      <c r="R3">
        <v>10.5</v>
      </c>
      <c r="S3">
        <v>32.799999999999997</v>
      </c>
      <c r="T3">
        <v>2.6</v>
      </c>
      <c r="U3">
        <v>0.8</v>
      </c>
      <c r="V3">
        <v>22.7</v>
      </c>
      <c r="W3">
        <v>24.5</v>
      </c>
      <c r="X3">
        <v>15.3</v>
      </c>
      <c r="Y3">
        <v>18.399999999999999</v>
      </c>
      <c r="Z3">
        <v>10.6</v>
      </c>
      <c r="AA3">
        <v>10.9</v>
      </c>
      <c r="AB3">
        <v>9.6</v>
      </c>
      <c r="AC3">
        <v>2.2999999999999998</v>
      </c>
      <c r="AD3">
        <v>6.1</v>
      </c>
      <c r="AE3">
        <v>2.2000000000000002</v>
      </c>
      <c r="AF3">
        <v>18.8</v>
      </c>
      <c r="AG3">
        <v>2273</v>
      </c>
      <c r="AH3">
        <v>96</v>
      </c>
      <c r="AI3">
        <v>46</v>
      </c>
      <c r="AJ3">
        <v>0</v>
      </c>
      <c r="AK3">
        <v>405</v>
      </c>
      <c r="AL3">
        <v>510</v>
      </c>
      <c r="AM3">
        <v>640</v>
      </c>
      <c r="AN3">
        <v>426</v>
      </c>
      <c r="AO3">
        <v>85</v>
      </c>
      <c r="AP3">
        <v>0</v>
      </c>
      <c r="AQ3">
        <v>47</v>
      </c>
      <c r="AR3">
        <v>0</v>
      </c>
      <c r="AS3">
        <v>0</v>
      </c>
      <c r="AT3">
        <v>0</v>
      </c>
      <c r="AU3">
        <v>18</v>
      </c>
      <c r="AV3">
        <v>0</v>
      </c>
      <c r="AW3">
        <v>0</v>
      </c>
      <c r="AX3">
        <v>0</v>
      </c>
      <c r="AY3">
        <v>0</v>
      </c>
      <c r="AZ3">
        <v>26.3</v>
      </c>
      <c r="BA3">
        <v>86.2</v>
      </c>
      <c r="BB3">
        <v>3.1596172</v>
      </c>
      <c r="BC3">
        <v>2.0818346000000001</v>
      </c>
      <c r="BD3">
        <v>1</v>
      </c>
      <c r="BE3">
        <v>0</v>
      </c>
      <c r="BF3">
        <v>3</v>
      </c>
      <c r="BG3">
        <v>8</v>
      </c>
      <c r="BH3">
        <v>6384.3329999999996</v>
      </c>
      <c r="BI3">
        <v>7035.625</v>
      </c>
      <c r="BJ3">
        <f t="shared" ref="BJ3:BJ66" si="0">ACOS((SIN(C3*PI()/180)*SIN(42.34989*PI()/180)+COS(C3*PI()/180)*COS(42.34989*PI()/180)*COS((-71.1068)*PI()/180-D3*PI()/180)) ) *3443.8985</f>
        <v>1.2045524813601851</v>
      </c>
      <c r="BK3" s="10">
        <f t="shared" ref="BK3:BK66" si="1">V3/N3</f>
        <v>2.5563063063063062E-2</v>
      </c>
      <c r="BL3">
        <f t="shared" ref="BL3:BL66" si="2">AK3+AL3</f>
        <v>915</v>
      </c>
      <c r="BM3">
        <f t="shared" ref="BM3:BM66" si="3">IF(LEFT(K3,1)="G",1,0)</f>
        <v>1</v>
      </c>
      <c r="BQ3">
        <v>12878</v>
      </c>
      <c r="BR3">
        <v>1.2045524813601851</v>
      </c>
      <c r="BS3">
        <v>915</v>
      </c>
      <c r="BT3">
        <v>-71.126480000000001</v>
      </c>
      <c r="BU3">
        <v>5.6315502999999998</v>
      </c>
      <c r="BV3">
        <v>3.1596172</v>
      </c>
    </row>
    <row r="4" spans="1:74" x14ac:dyDescent="0.2">
      <c r="A4" t="s">
        <v>67</v>
      </c>
      <c r="B4">
        <v>270</v>
      </c>
      <c r="C4">
        <v>42.284882000000003</v>
      </c>
      <c r="D4">
        <v>-71.095878999999996</v>
      </c>
      <c r="E4">
        <v>145.17999</v>
      </c>
      <c r="F4">
        <v>1317</v>
      </c>
      <c r="G4">
        <v>24.259540999999999</v>
      </c>
      <c r="H4">
        <v>1011.01</v>
      </c>
      <c r="I4">
        <v>10</v>
      </c>
      <c r="J4" t="s">
        <v>68</v>
      </c>
      <c r="K4" t="s">
        <v>69</v>
      </c>
      <c r="L4">
        <v>1.2813933</v>
      </c>
      <c r="M4">
        <v>0</v>
      </c>
      <c r="N4">
        <v>2136</v>
      </c>
      <c r="O4">
        <v>54.3</v>
      </c>
      <c r="P4">
        <v>49</v>
      </c>
      <c r="Q4">
        <v>5.3</v>
      </c>
      <c r="R4">
        <v>31.6</v>
      </c>
      <c r="S4">
        <v>2.2000000000000002</v>
      </c>
      <c r="T4">
        <v>0</v>
      </c>
      <c r="U4">
        <v>0.8</v>
      </c>
      <c r="V4">
        <v>11.2</v>
      </c>
      <c r="W4">
        <v>1.1000000000000001</v>
      </c>
      <c r="X4">
        <v>8.1999999999999993</v>
      </c>
      <c r="Y4">
        <v>7.9</v>
      </c>
      <c r="Z4">
        <v>7.2</v>
      </c>
      <c r="AA4">
        <v>12.2</v>
      </c>
      <c r="AB4">
        <v>26.8</v>
      </c>
      <c r="AC4">
        <v>5.3</v>
      </c>
      <c r="AD4">
        <v>10.1</v>
      </c>
      <c r="AE4">
        <v>21.1</v>
      </c>
      <c r="AF4">
        <v>35</v>
      </c>
      <c r="AG4">
        <v>4144</v>
      </c>
      <c r="AH4">
        <v>285</v>
      </c>
      <c r="AI4">
        <v>177</v>
      </c>
      <c r="AJ4">
        <v>278</v>
      </c>
      <c r="AK4">
        <v>235</v>
      </c>
      <c r="AL4">
        <v>222</v>
      </c>
      <c r="AM4">
        <v>273</v>
      </c>
      <c r="AN4">
        <v>519</v>
      </c>
      <c r="AO4">
        <v>231</v>
      </c>
      <c r="AP4">
        <v>417</v>
      </c>
      <c r="AQ4">
        <v>175</v>
      </c>
      <c r="AR4">
        <v>248</v>
      </c>
      <c r="AS4">
        <v>293</v>
      </c>
      <c r="AT4">
        <v>237</v>
      </c>
      <c r="AU4">
        <v>152</v>
      </c>
      <c r="AV4">
        <v>144</v>
      </c>
      <c r="AW4">
        <v>104</v>
      </c>
      <c r="AX4">
        <v>120</v>
      </c>
      <c r="AY4">
        <v>34</v>
      </c>
      <c r="AZ4">
        <v>37.4</v>
      </c>
      <c r="BA4">
        <v>78.2</v>
      </c>
      <c r="BB4">
        <v>5.0909804999999997</v>
      </c>
      <c r="BC4">
        <v>3.6927123000000002</v>
      </c>
      <c r="BD4">
        <v>1</v>
      </c>
      <c r="BE4">
        <v>0</v>
      </c>
      <c r="BF4">
        <v>0</v>
      </c>
      <c r="BG4">
        <v>2</v>
      </c>
      <c r="BH4">
        <v>0</v>
      </c>
      <c r="BI4">
        <v>405.5</v>
      </c>
      <c r="BJ4">
        <f t="shared" si="0"/>
        <v>3.9374914972119051</v>
      </c>
      <c r="BK4" s="10">
        <f t="shared" si="1"/>
        <v>5.2434456928838946E-3</v>
      </c>
      <c r="BL4">
        <f t="shared" si="2"/>
        <v>457</v>
      </c>
      <c r="BM4">
        <f t="shared" si="3"/>
        <v>0</v>
      </c>
      <c r="BQ4">
        <v>270</v>
      </c>
      <c r="BR4">
        <v>3.9374914972119051</v>
      </c>
      <c r="BS4">
        <v>457</v>
      </c>
      <c r="BT4">
        <v>-71.095878999999996</v>
      </c>
      <c r="BU4">
        <v>24.259540999999999</v>
      </c>
      <c r="BV4">
        <v>5.0909804999999997</v>
      </c>
    </row>
    <row r="5" spans="1:74" x14ac:dyDescent="0.2">
      <c r="A5" t="s">
        <v>70</v>
      </c>
      <c r="B5">
        <v>1616</v>
      </c>
      <c r="C5">
        <v>42.353991999999998</v>
      </c>
      <c r="D5">
        <v>-71.127883999999995</v>
      </c>
      <c r="E5">
        <v>91.389999000000003</v>
      </c>
      <c r="F5">
        <v>1956</v>
      </c>
      <c r="G5">
        <v>50.508808000000002</v>
      </c>
      <c r="H5">
        <v>8.0500000000000007</v>
      </c>
      <c r="I5">
        <v>10</v>
      </c>
      <c r="J5" t="s">
        <v>65</v>
      </c>
      <c r="K5" t="s">
        <v>66</v>
      </c>
      <c r="L5">
        <v>0.10272853</v>
      </c>
      <c r="M5">
        <v>1</v>
      </c>
      <c r="N5">
        <v>1867</v>
      </c>
      <c r="O5">
        <v>18.5</v>
      </c>
      <c r="P5">
        <v>14.6</v>
      </c>
      <c r="Q5">
        <v>3.9</v>
      </c>
      <c r="R5">
        <v>29.3</v>
      </c>
      <c r="S5">
        <v>18.3</v>
      </c>
      <c r="T5">
        <v>5.7</v>
      </c>
      <c r="U5">
        <v>1.8</v>
      </c>
      <c r="V5">
        <v>26.4</v>
      </c>
      <c r="W5">
        <v>8.6</v>
      </c>
      <c r="X5">
        <v>8.6999999999999993</v>
      </c>
      <c r="Y5">
        <v>8.6999999999999993</v>
      </c>
      <c r="Z5">
        <v>9.3000000000000007</v>
      </c>
      <c r="AA5">
        <v>7.1</v>
      </c>
      <c r="AB5">
        <v>13</v>
      </c>
      <c r="AC5">
        <v>24.2</v>
      </c>
      <c r="AD5">
        <v>7.6</v>
      </c>
      <c r="AE5">
        <v>12.9</v>
      </c>
      <c r="AF5">
        <v>32.5</v>
      </c>
      <c r="AG5">
        <v>3123</v>
      </c>
      <c r="AH5">
        <v>121</v>
      </c>
      <c r="AI5">
        <v>50</v>
      </c>
      <c r="AJ5">
        <v>0</v>
      </c>
      <c r="AK5">
        <v>346</v>
      </c>
      <c r="AL5">
        <v>907</v>
      </c>
      <c r="AM5">
        <v>882</v>
      </c>
      <c r="AN5">
        <v>387</v>
      </c>
      <c r="AO5">
        <v>67</v>
      </c>
      <c r="AP5">
        <v>80</v>
      </c>
      <c r="AQ5">
        <v>0</v>
      </c>
      <c r="AR5">
        <v>59</v>
      </c>
      <c r="AS5">
        <v>15</v>
      </c>
      <c r="AT5">
        <v>64</v>
      </c>
      <c r="AU5">
        <v>20</v>
      </c>
      <c r="AV5">
        <v>25</v>
      </c>
      <c r="AW5">
        <v>0</v>
      </c>
      <c r="AX5">
        <v>0</v>
      </c>
      <c r="AY5">
        <v>100</v>
      </c>
      <c r="AZ5">
        <v>25.6</v>
      </c>
      <c r="BA5">
        <v>106.4</v>
      </c>
      <c r="BB5">
        <v>3.1763488999999998</v>
      </c>
      <c r="BC5">
        <v>1.5975187</v>
      </c>
      <c r="BD5">
        <v>1</v>
      </c>
      <c r="BE5">
        <v>0</v>
      </c>
      <c r="BF5">
        <v>4</v>
      </c>
      <c r="BG5">
        <v>13</v>
      </c>
      <c r="BH5">
        <v>9477.75</v>
      </c>
      <c r="BI5">
        <v>9791.6149999999998</v>
      </c>
      <c r="BJ5">
        <f t="shared" si="0"/>
        <v>0.96847485894726393</v>
      </c>
      <c r="BK5" s="10">
        <f t="shared" si="1"/>
        <v>1.4140332083556507E-2</v>
      </c>
      <c r="BL5">
        <f t="shared" si="2"/>
        <v>1253</v>
      </c>
      <c r="BM5">
        <f t="shared" si="3"/>
        <v>1</v>
      </c>
      <c r="BQ5">
        <v>1616</v>
      </c>
      <c r="BR5">
        <v>0.96847485894726393</v>
      </c>
      <c r="BS5">
        <v>1253</v>
      </c>
      <c r="BT5">
        <v>-71.127883999999995</v>
      </c>
      <c r="BU5">
        <v>50.508808000000002</v>
      </c>
      <c r="BV5">
        <v>3.1763488999999998</v>
      </c>
    </row>
    <row r="6" spans="1:74" x14ac:dyDescent="0.2">
      <c r="A6" t="s">
        <v>71</v>
      </c>
      <c r="B6">
        <v>1200</v>
      </c>
      <c r="C6">
        <v>42.286803999999997</v>
      </c>
      <c r="D6">
        <v>-71.113281000000001</v>
      </c>
      <c r="E6">
        <v>202.10001</v>
      </c>
      <c r="F6">
        <v>1026</v>
      </c>
      <c r="G6">
        <v>12.370113</v>
      </c>
      <c r="H6">
        <v>1103.01</v>
      </c>
      <c r="I6">
        <v>10</v>
      </c>
      <c r="J6" t="s">
        <v>68</v>
      </c>
      <c r="K6" t="s">
        <v>69</v>
      </c>
      <c r="L6">
        <v>1.064236</v>
      </c>
      <c r="M6">
        <v>0</v>
      </c>
      <c r="N6">
        <v>1371</v>
      </c>
      <c r="O6">
        <v>51.1</v>
      </c>
      <c r="P6">
        <v>49</v>
      </c>
      <c r="Q6">
        <v>2</v>
      </c>
      <c r="R6">
        <v>26.6</v>
      </c>
      <c r="S6">
        <v>2</v>
      </c>
      <c r="T6">
        <v>0.4</v>
      </c>
      <c r="U6">
        <v>2.5</v>
      </c>
      <c r="V6">
        <v>17.399999999999999</v>
      </c>
      <c r="W6">
        <v>3.2</v>
      </c>
      <c r="X6">
        <v>5.0999999999999996</v>
      </c>
      <c r="Y6">
        <v>14.4</v>
      </c>
      <c r="Z6">
        <v>8</v>
      </c>
      <c r="AA6">
        <v>2.7</v>
      </c>
      <c r="AB6">
        <v>12.5</v>
      </c>
      <c r="AC6">
        <v>16.8</v>
      </c>
      <c r="AD6">
        <v>14.5</v>
      </c>
      <c r="AE6">
        <v>22.9</v>
      </c>
      <c r="AF6">
        <v>35.9</v>
      </c>
      <c r="AG6">
        <v>2648</v>
      </c>
      <c r="AH6">
        <v>218</v>
      </c>
      <c r="AI6">
        <v>138</v>
      </c>
      <c r="AJ6">
        <v>144</v>
      </c>
      <c r="AK6">
        <v>162</v>
      </c>
      <c r="AL6">
        <v>104</v>
      </c>
      <c r="AM6">
        <v>121</v>
      </c>
      <c r="AN6">
        <v>220</v>
      </c>
      <c r="AO6">
        <v>270</v>
      </c>
      <c r="AP6">
        <v>205</v>
      </c>
      <c r="AQ6">
        <v>114</v>
      </c>
      <c r="AR6">
        <v>126</v>
      </c>
      <c r="AS6">
        <v>202</v>
      </c>
      <c r="AT6">
        <v>113</v>
      </c>
      <c r="AU6">
        <v>229</v>
      </c>
      <c r="AV6">
        <v>156</v>
      </c>
      <c r="AW6">
        <v>29</v>
      </c>
      <c r="AX6">
        <v>56</v>
      </c>
      <c r="AY6">
        <v>41</v>
      </c>
      <c r="AZ6">
        <v>39.200000000000003</v>
      </c>
      <c r="BA6">
        <v>81.400000000000006</v>
      </c>
      <c r="BB6">
        <v>5.3083881999999996</v>
      </c>
      <c r="BC6">
        <v>3.5494363</v>
      </c>
      <c r="BD6">
        <v>1</v>
      </c>
      <c r="BE6">
        <v>0</v>
      </c>
      <c r="BF6">
        <v>1</v>
      </c>
      <c r="BG6">
        <v>2</v>
      </c>
      <c r="BH6">
        <v>71</v>
      </c>
      <c r="BI6">
        <v>226</v>
      </c>
      <c r="BJ6">
        <f t="shared" si="0"/>
        <v>3.8028578897705438</v>
      </c>
      <c r="BK6" s="10">
        <f t="shared" si="1"/>
        <v>1.2691466083150983E-2</v>
      </c>
      <c r="BL6">
        <f t="shared" si="2"/>
        <v>266</v>
      </c>
      <c r="BM6">
        <f t="shared" si="3"/>
        <v>0</v>
      </c>
      <c r="BQ6">
        <v>1200</v>
      </c>
      <c r="BR6">
        <v>3.8028578897705438</v>
      </c>
      <c r="BS6">
        <v>266</v>
      </c>
      <c r="BT6">
        <v>-71.113281000000001</v>
      </c>
      <c r="BU6">
        <v>12.370113</v>
      </c>
      <c r="BV6">
        <v>5.3083881999999996</v>
      </c>
    </row>
    <row r="7" spans="1:74" x14ac:dyDescent="0.2">
      <c r="A7" t="s">
        <v>72</v>
      </c>
      <c r="B7">
        <v>1029</v>
      </c>
      <c r="C7">
        <v>42.293430000000001</v>
      </c>
      <c r="D7">
        <v>-71.120887999999994</v>
      </c>
      <c r="E7">
        <v>74.610000999999997</v>
      </c>
      <c r="F7">
        <v>779</v>
      </c>
      <c r="G7">
        <v>29.178394000000001</v>
      </c>
      <c r="H7">
        <v>1101.04</v>
      </c>
      <c r="I7">
        <v>10</v>
      </c>
      <c r="J7" t="s">
        <v>68</v>
      </c>
      <c r="K7" t="s">
        <v>69</v>
      </c>
      <c r="L7">
        <v>0.66883683000000005</v>
      </c>
      <c r="M7">
        <v>0</v>
      </c>
      <c r="N7">
        <v>1106</v>
      </c>
      <c r="O7">
        <v>59.9</v>
      </c>
      <c r="P7">
        <v>53.3</v>
      </c>
      <c r="Q7">
        <v>6.5</v>
      </c>
      <c r="R7">
        <v>21.9</v>
      </c>
      <c r="S7">
        <v>3.1</v>
      </c>
      <c r="T7">
        <v>1.2</v>
      </c>
      <c r="U7">
        <v>10.3</v>
      </c>
      <c r="V7">
        <v>3.7</v>
      </c>
      <c r="W7">
        <v>10</v>
      </c>
      <c r="X7">
        <v>2.4</v>
      </c>
      <c r="Y7">
        <v>11.3</v>
      </c>
      <c r="Z7">
        <v>15</v>
      </c>
      <c r="AA7">
        <v>10.1</v>
      </c>
      <c r="AB7">
        <v>31.1</v>
      </c>
      <c r="AC7">
        <v>5.0999999999999996</v>
      </c>
      <c r="AD7">
        <v>2.9</v>
      </c>
      <c r="AE7">
        <v>12.1</v>
      </c>
      <c r="AF7">
        <v>29.1</v>
      </c>
      <c r="AG7">
        <v>2204</v>
      </c>
      <c r="AH7">
        <v>182</v>
      </c>
      <c r="AI7">
        <v>102</v>
      </c>
      <c r="AJ7">
        <v>132</v>
      </c>
      <c r="AK7">
        <v>110</v>
      </c>
      <c r="AL7">
        <v>159</v>
      </c>
      <c r="AM7">
        <v>129</v>
      </c>
      <c r="AN7">
        <v>286</v>
      </c>
      <c r="AO7">
        <v>103</v>
      </c>
      <c r="AP7">
        <v>351</v>
      </c>
      <c r="AQ7">
        <v>61</v>
      </c>
      <c r="AR7">
        <v>143</v>
      </c>
      <c r="AS7">
        <v>53</v>
      </c>
      <c r="AT7">
        <v>77</v>
      </c>
      <c r="AU7">
        <v>201</v>
      </c>
      <c r="AV7">
        <v>71</v>
      </c>
      <c r="AW7">
        <v>13</v>
      </c>
      <c r="AX7">
        <v>23</v>
      </c>
      <c r="AY7">
        <v>8</v>
      </c>
      <c r="AZ7">
        <v>35</v>
      </c>
      <c r="BA7">
        <v>131.5</v>
      </c>
      <c r="BB7">
        <v>5.1095132999999997</v>
      </c>
      <c r="BC7">
        <v>3.1684071999999999</v>
      </c>
      <c r="BD7">
        <v>1</v>
      </c>
      <c r="BE7">
        <v>0</v>
      </c>
      <c r="BF7">
        <v>1</v>
      </c>
      <c r="BG7">
        <v>2</v>
      </c>
      <c r="BH7">
        <v>823</v>
      </c>
      <c r="BI7">
        <v>1149.5</v>
      </c>
      <c r="BJ7">
        <f t="shared" si="0"/>
        <v>3.4509333710259384</v>
      </c>
      <c r="BK7" s="10">
        <f t="shared" si="1"/>
        <v>3.3453887884267635E-3</v>
      </c>
      <c r="BL7">
        <f t="shared" si="2"/>
        <v>269</v>
      </c>
      <c r="BM7">
        <f t="shared" si="3"/>
        <v>0</v>
      </c>
      <c r="BQ7">
        <v>1029</v>
      </c>
      <c r="BR7">
        <v>3.4509333710259384</v>
      </c>
      <c r="BS7">
        <v>269</v>
      </c>
      <c r="BT7">
        <v>-71.120887999999994</v>
      </c>
      <c r="BU7">
        <v>29.178394000000001</v>
      </c>
      <c r="BV7">
        <v>5.1095132999999997</v>
      </c>
    </row>
    <row r="8" spans="1:74" x14ac:dyDescent="0.2">
      <c r="A8" t="s">
        <v>73</v>
      </c>
      <c r="B8">
        <v>543</v>
      </c>
      <c r="C8">
        <v>42.350033000000003</v>
      </c>
      <c r="D8">
        <v>-71.248290999999995</v>
      </c>
      <c r="E8">
        <v>629.69000000000005</v>
      </c>
      <c r="F8">
        <v>1848</v>
      </c>
      <c r="G8">
        <v>7.3083581999999998</v>
      </c>
      <c r="H8">
        <v>3747</v>
      </c>
      <c r="I8">
        <v>127</v>
      </c>
      <c r="J8" t="s">
        <v>74</v>
      </c>
      <c r="K8" t="s">
        <v>75</v>
      </c>
      <c r="L8">
        <v>0.78271568000000002</v>
      </c>
      <c r="M8">
        <v>0</v>
      </c>
      <c r="N8">
        <v>2618</v>
      </c>
      <c r="O8">
        <v>52.8</v>
      </c>
      <c r="P8">
        <v>49.5</v>
      </c>
      <c r="Q8">
        <v>3.2</v>
      </c>
      <c r="R8">
        <v>6.9</v>
      </c>
      <c r="S8">
        <v>5.7</v>
      </c>
      <c r="T8">
        <v>0.4</v>
      </c>
      <c r="U8">
        <v>0.3</v>
      </c>
      <c r="V8">
        <v>33.9</v>
      </c>
      <c r="W8">
        <v>14</v>
      </c>
      <c r="X8">
        <v>15.4</v>
      </c>
      <c r="Y8">
        <v>20.9</v>
      </c>
      <c r="Z8">
        <v>12.3</v>
      </c>
      <c r="AA8">
        <v>5.7</v>
      </c>
      <c r="AB8">
        <v>11</v>
      </c>
      <c r="AC8">
        <v>12.1</v>
      </c>
      <c r="AD8">
        <v>5.7</v>
      </c>
      <c r="AE8">
        <v>2.8</v>
      </c>
      <c r="AF8">
        <v>22</v>
      </c>
      <c r="AG8">
        <v>4421</v>
      </c>
      <c r="AH8">
        <v>386</v>
      </c>
      <c r="AI8">
        <v>212</v>
      </c>
      <c r="AJ8">
        <v>155</v>
      </c>
      <c r="AK8">
        <v>291</v>
      </c>
      <c r="AL8">
        <v>69</v>
      </c>
      <c r="AM8">
        <v>269</v>
      </c>
      <c r="AN8">
        <v>377</v>
      </c>
      <c r="AO8">
        <v>461</v>
      </c>
      <c r="AP8">
        <v>272</v>
      </c>
      <c r="AQ8">
        <v>232</v>
      </c>
      <c r="AR8">
        <v>313</v>
      </c>
      <c r="AS8">
        <v>458</v>
      </c>
      <c r="AT8">
        <v>209</v>
      </c>
      <c r="AU8">
        <v>210</v>
      </c>
      <c r="AV8">
        <v>218</v>
      </c>
      <c r="AW8">
        <v>164</v>
      </c>
      <c r="AX8">
        <v>7</v>
      </c>
      <c r="AY8">
        <v>118</v>
      </c>
      <c r="AZ8">
        <v>39.9</v>
      </c>
      <c r="BA8">
        <v>85.1</v>
      </c>
      <c r="BB8">
        <v>9.3305682999999995</v>
      </c>
      <c r="BC8">
        <v>7.3413458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f t="shared" si="0"/>
        <v>6.2853164774213699</v>
      </c>
      <c r="BK8" s="10">
        <f t="shared" si="1"/>
        <v>1.294881588999236E-2</v>
      </c>
      <c r="BL8">
        <f t="shared" si="2"/>
        <v>360</v>
      </c>
      <c r="BM8">
        <f t="shared" si="3"/>
        <v>1</v>
      </c>
      <c r="BQ8">
        <v>543</v>
      </c>
      <c r="BR8">
        <v>6.2853164774213699</v>
      </c>
      <c r="BS8">
        <v>360</v>
      </c>
      <c r="BT8">
        <v>-71.248290999999995</v>
      </c>
      <c r="BU8">
        <v>7.3083581999999998</v>
      </c>
      <c r="BV8">
        <v>9.3305682999999995</v>
      </c>
    </row>
    <row r="9" spans="1:74" x14ac:dyDescent="0.2">
      <c r="A9" t="s">
        <v>76</v>
      </c>
      <c r="B9">
        <v>13655</v>
      </c>
      <c r="C9">
        <v>42.349850000000004</v>
      </c>
      <c r="D9">
        <v>-71.103499999999997</v>
      </c>
      <c r="E9">
        <v>71.190002000000007</v>
      </c>
      <c r="F9">
        <v>420</v>
      </c>
      <c r="G9">
        <v>65.978363000000002</v>
      </c>
      <c r="H9">
        <v>101.03</v>
      </c>
      <c r="I9">
        <v>10</v>
      </c>
      <c r="J9" t="s">
        <v>77</v>
      </c>
      <c r="K9" t="s">
        <v>66</v>
      </c>
      <c r="L9">
        <v>8.6644979999999996E-2</v>
      </c>
      <c r="M9">
        <v>3</v>
      </c>
      <c r="N9">
        <v>1374</v>
      </c>
      <c r="O9">
        <v>10.8</v>
      </c>
      <c r="P9">
        <v>9.3000000000000007</v>
      </c>
      <c r="Q9">
        <v>1.5</v>
      </c>
      <c r="R9">
        <v>14.3</v>
      </c>
      <c r="S9">
        <v>55</v>
      </c>
      <c r="T9">
        <v>0.4</v>
      </c>
      <c r="U9">
        <v>1.3</v>
      </c>
      <c r="V9">
        <v>18.2</v>
      </c>
      <c r="W9">
        <v>29.4</v>
      </c>
      <c r="X9">
        <v>21.4</v>
      </c>
      <c r="Y9">
        <v>17.7</v>
      </c>
      <c r="Z9">
        <v>12.5</v>
      </c>
      <c r="AA9">
        <v>0.8</v>
      </c>
      <c r="AB9">
        <v>7.1</v>
      </c>
      <c r="AC9">
        <v>4</v>
      </c>
      <c r="AD9">
        <v>3.8</v>
      </c>
      <c r="AE9">
        <v>3.2</v>
      </c>
      <c r="AF9">
        <v>16.5</v>
      </c>
      <c r="AG9">
        <v>3527</v>
      </c>
      <c r="AH9">
        <v>0</v>
      </c>
      <c r="AI9">
        <v>9</v>
      </c>
      <c r="AJ9">
        <v>0</v>
      </c>
      <c r="AK9">
        <v>1797</v>
      </c>
      <c r="AL9">
        <v>1259</v>
      </c>
      <c r="AM9">
        <v>206</v>
      </c>
      <c r="AN9">
        <v>28</v>
      </c>
      <c r="AO9">
        <v>144</v>
      </c>
      <c r="AP9">
        <v>24</v>
      </c>
      <c r="AQ9">
        <v>25</v>
      </c>
      <c r="AR9">
        <v>19</v>
      </c>
      <c r="AS9">
        <v>0</v>
      </c>
      <c r="AT9">
        <v>1</v>
      </c>
      <c r="AU9">
        <v>0</v>
      </c>
      <c r="AV9">
        <v>15</v>
      </c>
      <c r="AW9">
        <v>0</v>
      </c>
      <c r="AX9">
        <v>0</v>
      </c>
      <c r="AY9">
        <v>0</v>
      </c>
      <c r="AZ9">
        <v>20</v>
      </c>
      <c r="BA9">
        <v>85.8</v>
      </c>
      <c r="BB9">
        <v>1.9641867</v>
      </c>
      <c r="BC9">
        <v>0.83545535999999998</v>
      </c>
      <c r="BD9">
        <v>1</v>
      </c>
      <c r="BE9">
        <v>0</v>
      </c>
      <c r="BF9">
        <v>3</v>
      </c>
      <c r="BG9">
        <v>9</v>
      </c>
      <c r="BH9">
        <v>6348</v>
      </c>
      <c r="BI9">
        <v>15327.56</v>
      </c>
      <c r="BJ9">
        <f t="shared" si="0"/>
        <v>0.14661249552280328</v>
      </c>
      <c r="BK9" s="10">
        <f t="shared" si="1"/>
        <v>1.3245997088791848E-2</v>
      </c>
      <c r="BL9">
        <f t="shared" si="2"/>
        <v>3056</v>
      </c>
      <c r="BM9">
        <f t="shared" si="3"/>
        <v>1</v>
      </c>
      <c r="BQ9">
        <v>13655</v>
      </c>
      <c r="BR9">
        <v>0.14661249552280328</v>
      </c>
      <c r="BS9">
        <v>3056</v>
      </c>
      <c r="BT9">
        <v>-71.103499999999997</v>
      </c>
      <c r="BU9">
        <v>65.978363000000002</v>
      </c>
      <c r="BV9">
        <v>1.9641867</v>
      </c>
    </row>
    <row r="10" spans="1:74" x14ac:dyDescent="0.2">
      <c r="A10" t="s">
        <v>78</v>
      </c>
      <c r="B10">
        <v>805</v>
      </c>
      <c r="C10">
        <v>42.355732000000003</v>
      </c>
      <c r="D10">
        <v>-71.184417999999994</v>
      </c>
      <c r="E10">
        <v>424.45999</v>
      </c>
      <c r="F10">
        <v>2226</v>
      </c>
      <c r="G10">
        <v>12.045894000000001</v>
      </c>
      <c r="H10">
        <v>3731</v>
      </c>
      <c r="I10">
        <v>127</v>
      </c>
      <c r="J10" t="s">
        <v>79</v>
      </c>
      <c r="K10" t="s">
        <v>66</v>
      </c>
      <c r="L10">
        <v>1.5090771999999999</v>
      </c>
      <c r="M10">
        <v>0</v>
      </c>
      <c r="N10">
        <v>3225</v>
      </c>
      <c r="O10">
        <v>53.6</v>
      </c>
      <c r="P10">
        <v>47.5</v>
      </c>
      <c r="Q10">
        <v>6.1</v>
      </c>
      <c r="R10">
        <v>19</v>
      </c>
      <c r="S10">
        <v>3.6</v>
      </c>
      <c r="T10">
        <v>0.6</v>
      </c>
      <c r="U10">
        <v>0.7</v>
      </c>
      <c r="V10">
        <v>22.4</v>
      </c>
      <c r="W10">
        <v>16</v>
      </c>
      <c r="X10">
        <v>8.8000000000000007</v>
      </c>
      <c r="Y10">
        <v>10.5</v>
      </c>
      <c r="Z10">
        <v>13.9</v>
      </c>
      <c r="AA10">
        <v>9</v>
      </c>
      <c r="AB10">
        <v>11.4</v>
      </c>
      <c r="AC10">
        <v>9.8000000000000007</v>
      </c>
      <c r="AD10">
        <v>8</v>
      </c>
      <c r="AE10">
        <v>12.6</v>
      </c>
      <c r="AF10">
        <v>28.8</v>
      </c>
      <c r="AG10">
        <v>5323</v>
      </c>
      <c r="AH10">
        <v>395</v>
      </c>
      <c r="AI10">
        <v>185</v>
      </c>
      <c r="AJ10">
        <v>171</v>
      </c>
      <c r="AK10">
        <v>262</v>
      </c>
      <c r="AL10">
        <v>175</v>
      </c>
      <c r="AM10">
        <v>619</v>
      </c>
      <c r="AN10">
        <v>727</v>
      </c>
      <c r="AO10">
        <v>358</v>
      </c>
      <c r="AP10">
        <v>595</v>
      </c>
      <c r="AQ10">
        <v>302</v>
      </c>
      <c r="AR10">
        <v>300</v>
      </c>
      <c r="AS10">
        <v>217</v>
      </c>
      <c r="AT10">
        <v>250</v>
      </c>
      <c r="AU10">
        <v>168</v>
      </c>
      <c r="AV10">
        <v>273</v>
      </c>
      <c r="AW10">
        <v>90</v>
      </c>
      <c r="AX10">
        <v>150</v>
      </c>
      <c r="AY10">
        <v>86</v>
      </c>
      <c r="AZ10">
        <v>36.9</v>
      </c>
      <c r="BA10">
        <v>89.3</v>
      </c>
      <c r="BB10">
        <v>6.0622562999999996</v>
      </c>
      <c r="BC10">
        <v>4.2158170000000004</v>
      </c>
      <c r="BD10">
        <v>0</v>
      </c>
      <c r="BE10">
        <v>1</v>
      </c>
      <c r="BF10">
        <v>1</v>
      </c>
      <c r="BG10">
        <v>3</v>
      </c>
      <c r="BH10">
        <v>511</v>
      </c>
      <c r="BI10">
        <v>835</v>
      </c>
      <c r="BJ10">
        <f t="shared" si="0"/>
        <v>3.4656248581968256</v>
      </c>
      <c r="BK10" s="10">
        <f t="shared" si="1"/>
        <v>6.945736434108527E-3</v>
      </c>
      <c r="BL10">
        <f t="shared" si="2"/>
        <v>437</v>
      </c>
      <c r="BM10">
        <f t="shared" si="3"/>
        <v>1</v>
      </c>
      <c r="BQ10">
        <v>805</v>
      </c>
      <c r="BR10">
        <v>3.4656248581968256</v>
      </c>
      <c r="BS10">
        <v>437</v>
      </c>
      <c r="BT10">
        <v>-71.184417999999994</v>
      </c>
      <c r="BU10">
        <v>12.045894000000001</v>
      </c>
      <c r="BV10">
        <v>6.0622562999999996</v>
      </c>
    </row>
    <row r="11" spans="1:74" x14ac:dyDescent="0.2">
      <c r="A11" t="s">
        <v>80</v>
      </c>
      <c r="B11">
        <v>6136</v>
      </c>
      <c r="C11">
        <v>42.341858000000002</v>
      </c>
      <c r="D11">
        <v>-71.135170000000002</v>
      </c>
      <c r="E11">
        <v>108.77</v>
      </c>
      <c r="F11">
        <v>850</v>
      </c>
      <c r="G11">
        <v>18.80114</v>
      </c>
      <c r="H11">
        <v>4004.02</v>
      </c>
      <c r="I11">
        <v>4</v>
      </c>
      <c r="J11" t="s">
        <v>81</v>
      </c>
      <c r="K11" t="s">
        <v>63</v>
      </c>
      <c r="L11">
        <v>1.8500869999999999E-2</v>
      </c>
      <c r="M11">
        <v>3</v>
      </c>
      <c r="N11">
        <v>1269</v>
      </c>
      <c r="O11">
        <v>43.6</v>
      </c>
      <c r="P11">
        <v>37.700000000000003</v>
      </c>
      <c r="Q11">
        <v>5.8</v>
      </c>
      <c r="R11">
        <v>17.3</v>
      </c>
      <c r="S11">
        <v>7.4</v>
      </c>
      <c r="T11">
        <v>5.4</v>
      </c>
      <c r="U11">
        <v>0</v>
      </c>
      <c r="V11">
        <v>26.3</v>
      </c>
      <c r="W11">
        <v>0.03</v>
      </c>
      <c r="X11">
        <v>7.9000000000000001E-2</v>
      </c>
      <c r="Y11">
        <v>0.129</v>
      </c>
      <c r="Z11">
        <v>0.122</v>
      </c>
      <c r="AA11">
        <v>8.3000000000000004E-2</v>
      </c>
      <c r="AB11">
        <v>0.249</v>
      </c>
      <c r="AC11">
        <v>0.161</v>
      </c>
      <c r="AD11">
        <v>4.7E-2</v>
      </c>
      <c r="AE11">
        <v>9.8000000000000004E-2</v>
      </c>
      <c r="AF11">
        <v>29.6</v>
      </c>
      <c r="AG11">
        <v>1957</v>
      </c>
      <c r="AH11">
        <v>94</v>
      </c>
      <c r="AI11">
        <v>65</v>
      </c>
      <c r="AJ11">
        <v>236</v>
      </c>
      <c r="AK11">
        <v>40</v>
      </c>
      <c r="AL11">
        <v>82</v>
      </c>
      <c r="AM11">
        <v>163</v>
      </c>
      <c r="AN11">
        <v>101</v>
      </c>
      <c r="AO11">
        <v>91</v>
      </c>
      <c r="AP11">
        <v>160</v>
      </c>
      <c r="AQ11">
        <v>273</v>
      </c>
      <c r="AR11">
        <v>127</v>
      </c>
      <c r="AS11">
        <v>183</v>
      </c>
      <c r="AT11">
        <v>85</v>
      </c>
      <c r="AU11">
        <v>102</v>
      </c>
      <c r="AV11">
        <v>90</v>
      </c>
      <c r="AW11">
        <v>7</v>
      </c>
      <c r="AX11">
        <v>44</v>
      </c>
      <c r="AY11">
        <v>14</v>
      </c>
      <c r="AZ11">
        <v>44.4</v>
      </c>
      <c r="BA11">
        <v>110</v>
      </c>
      <c r="BB11">
        <v>3.6638853999999998</v>
      </c>
      <c r="BC11">
        <v>1.5409096</v>
      </c>
      <c r="BD11">
        <v>0</v>
      </c>
      <c r="BE11">
        <v>0</v>
      </c>
      <c r="BF11">
        <v>0</v>
      </c>
      <c r="BG11">
        <v>3</v>
      </c>
      <c r="BH11">
        <v>0</v>
      </c>
      <c r="BI11">
        <v>4932.6670000000004</v>
      </c>
      <c r="BJ11">
        <f t="shared" si="0"/>
        <v>1.3496369402277999</v>
      </c>
      <c r="BK11" s="10">
        <f t="shared" si="1"/>
        <v>2.0724980299448387E-2</v>
      </c>
      <c r="BL11">
        <f t="shared" si="2"/>
        <v>122</v>
      </c>
      <c r="BM11">
        <f t="shared" si="3"/>
        <v>1</v>
      </c>
      <c r="BQ11">
        <v>6136</v>
      </c>
      <c r="BR11">
        <v>1.3496369402277999</v>
      </c>
      <c r="BS11">
        <v>122</v>
      </c>
      <c r="BT11">
        <v>-71.135170000000002</v>
      </c>
      <c r="BU11">
        <v>18.80114</v>
      </c>
      <c r="BV11">
        <v>3.6638853999999998</v>
      </c>
    </row>
    <row r="12" spans="1:74" x14ac:dyDescent="0.2">
      <c r="A12" t="s">
        <v>82</v>
      </c>
      <c r="B12">
        <v>585</v>
      </c>
      <c r="C12">
        <v>42.336784000000002</v>
      </c>
      <c r="D12">
        <v>-71.203986999999998</v>
      </c>
      <c r="E12">
        <v>589.37</v>
      </c>
      <c r="F12">
        <v>1408</v>
      </c>
      <c r="G12">
        <v>6.5391859999999999</v>
      </c>
      <c r="H12">
        <v>3737</v>
      </c>
      <c r="I12">
        <v>127</v>
      </c>
      <c r="J12" t="s">
        <v>83</v>
      </c>
      <c r="K12" t="s">
        <v>75</v>
      </c>
      <c r="L12">
        <v>0.52556961999999996</v>
      </c>
      <c r="M12">
        <v>0</v>
      </c>
      <c r="N12">
        <v>2001</v>
      </c>
      <c r="O12">
        <v>55.2</v>
      </c>
      <c r="P12">
        <v>48.5</v>
      </c>
      <c r="Q12">
        <v>6.7</v>
      </c>
      <c r="R12">
        <v>13.6</v>
      </c>
      <c r="S12">
        <v>0.4</v>
      </c>
      <c r="T12">
        <v>0.9</v>
      </c>
      <c r="U12">
        <v>0.5</v>
      </c>
      <c r="V12">
        <v>29.2</v>
      </c>
      <c r="W12">
        <v>1.8</v>
      </c>
      <c r="X12">
        <v>10.1</v>
      </c>
      <c r="Y12">
        <v>14.1</v>
      </c>
      <c r="Z12">
        <v>17.899999999999999</v>
      </c>
      <c r="AA12">
        <v>10.9</v>
      </c>
      <c r="AB12">
        <v>15.7</v>
      </c>
      <c r="AC12">
        <v>9</v>
      </c>
      <c r="AD12">
        <v>9.1999999999999993</v>
      </c>
      <c r="AE12">
        <v>11.5</v>
      </c>
      <c r="AF12">
        <v>29.1</v>
      </c>
      <c r="AG12">
        <v>3713</v>
      </c>
      <c r="AH12">
        <v>93</v>
      </c>
      <c r="AI12">
        <v>299</v>
      </c>
      <c r="AJ12">
        <v>296</v>
      </c>
      <c r="AK12">
        <v>189</v>
      </c>
      <c r="AL12">
        <v>157</v>
      </c>
      <c r="AM12">
        <v>130</v>
      </c>
      <c r="AN12">
        <v>121</v>
      </c>
      <c r="AO12">
        <v>135</v>
      </c>
      <c r="AP12">
        <v>259</v>
      </c>
      <c r="AQ12">
        <v>303</v>
      </c>
      <c r="AR12">
        <v>147</v>
      </c>
      <c r="AS12">
        <v>267</v>
      </c>
      <c r="AT12">
        <v>330</v>
      </c>
      <c r="AU12">
        <v>424</v>
      </c>
      <c r="AV12">
        <v>315</v>
      </c>
      <c r="AW12">
        <v>87</v>
      </c>
      <c r="AX12">
        <v>78</v>
      </c>
      <c r="AY12">
        <v>83</v>
      </c>
      <c r="AZ12">
        <v>47.9</v>
      </c>
      <c r="BA12">
        <v>92.8</v>
      </c>
      <c r="BB12">
        <v>7.1748915000000002</v>
      </c>
      <c r="BC12">
        <v>5.0313344000000004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237</v>
      </c>
      <c r="BJ12">
        <f t="shared" si="0"/>
        <v>4.3889704215754302</v>
      </c>
      <c r="BK12" s="10">
        <f t="shared" si="1"/>
        <v>1.4592703648175913E-2</v>
      </c>
      <c r="BL12">
        <f t="shared" si="2"/>
        <v>346</v>
      </c>
      <c r="BM12">
        <f t="shared" si="3"/>
        <v>1</v>
      </c>
      <c r="BQ12">
        <v>585</v>
      </c>
      <c r="BR12">
        <v>4.3889704215754302</v>
      </c>
      <c r="BS12">
        <v>346</v>
      </c>
      <c r="BT12">
        <v>-71.203986999999998</v>
      </c>
      <c r="BU12">
        <v>6.5391859999999999</v>
      </c>
      <c r="BV12">
        <v>7.1748915000000002</v>
      </c>
    </row>
    <row r="13" spans="1:74" x14ac:dyDescent="0.2">
      <c r="A13" t="s">
        <v>84</v>
      </c>
      <c r="B13">
        <v>657</v>
      </c>
      <c r="C13">
        <v>42.290244999999999</v>
      </c>
      <c r="D13">
        <v>-71.135033000000007</v>
      </c>
      <c r="E13">
        <v>277.73000999999999</v>
      </c>
      <c r="F13">
        <v>2264</v>
      </c>
      <c r="G13">
        <v>18.996866000000001</v>
      </c>
      <c r="H13">
        <v>1106.07</v>
      </c>
      <c r="I13">
        <v>10</v>
      </c>
      <c r="J13" t="s">
        <v>68</v>
      </c>
      <c r="K13" t="s">
        <v>69</v>
      </c>
      <c r="L13">
        <v>1.5269197999999999</v>
      </c>
      <c r="M13">
        <v>0</v>
      </c>
      <c r="N13">
        <v>3146</v>
      </c>
      <c r="O13">
        <v>51.1</v>
      </c>
      <c r="P13">
        <v>49.3</v>
      </c>
      <c r="Q13">
        <v>1.7</v>
      </c>
      <c r="R13">
        <v>14.9</v>
      </c>
      <c r="S13">
        <v>5.8</v>
      </c>
      <c r="T13">
        <v>4.5</v>
      </c>
      <c r="U13">
        <v>0.6</v>
      </c>
      <c r="V13">
        <v>23.1</v>
      </c>
      <c r="W13">
        <v>3.4</v>
      </c>
      <c r="X13">
        <v>4.2</v>
      </c>
      <c r="Y13">
        <v>8</v>
      </c>
      <c r="Z13">
        <v>8.4</v>
      </c>
      <c r="AA13">
        <v>14.3</v>
      </c>
      <c r="AB13">
        <v>17.600000000000001</v>
      </c>
      <c r="AC13">
        <v>14.2</v>
      </c>
      <c r="AD13">
        <v>19.899999999999999</v>
      </c>
      <c r="AE13">
        <v>10</v>
      </c>
      <c r="AF13">
        <v>33</v>
      </c>
      <c r="AG13">
        <v>5316</v>
      </c>
      <c r="AH13">
        <v>478</v>
      </c>
      <c r="AI13">
        <v>159</v>
      </c>
      <c r="AJ13">
        <v>171</v>
      </c>
      <c r="AK13">
        <v>203</v>
      </c>
      <c r="AL13">
        <v>211</v>
      </c>
      <c r="AM13">
        <v>479</v>
      </c>
      <c r="AN13">
        <v>448</v>
      </c>
      <c r="AO13">
        <v>796</v>
      </c>
      <c r="AP13">
        <v>221</v>
      </c>
      <c r="AQ13">
        <v>230</v>
      </c>
      <c r="AR13">
        <v>325</v>
      </c>
      <c r="AS13">
        <v>370</v>
      </c>
      <c r="AT13">
        <v>305</v>
      </c>
      <c r="AU13">
        <v>248</v>
      </c>
      <c r="AV13">
        <v>173</v>
      </c>
      <c r="AW13">
        <v>137</v>
      </c>
      <c r="AX13">
        <v>122</v>
      </c>
      <c r="AY13">
        <v>240</v>
      </c>
      <c r="AZ13">
        <v>37.200000000000003</v>
      </c>
      <c r="BA13">
        <v>77.2</v>
      </c>
      <c r="BB13">
        <v>5.7121810999999996</v>
      </c>
      <c r="BC13">
        <v>3.6190839000000001</v>
      </c>
      <c r="BD13">
        <v>1</v>
      </c>
      <c r="BE13">
        <v>0</v>
      </c>
      <c r="BF13">
        <v>0</v>
      </c>
      <c r="BG13">
        <v>3</v>
      </c>
      <c r="BH13">
        <v>0</v>
      </c>
      <c r="BI13">
        <v>1312</v>
      </c>
      <c r="BJ13">
        <f t="shared" si="0"/>
        <v>3.798341505355455</v>
      </c>
      <c r="BK13" s="10">
        <f t="shared" si="1"/>
        <v>7.3426573426573433E-3</v>
      </c>
      <c r="BL13">
        <f t="shared" si="2"/>
        <v>414</v>
      </c>
      <c r="BM13">
        <f t="shared" si="3"/>
        <v>0</v>
      </c>
      <c r="BQ13">
        <v>657</v>
      </c>
      <c r="BR13">
        <v>3.798341505355455</v>
      </c>
      <c r="BS13">
        <v>414</v>
      </c>
      <c r="BT13">
        <v>-71.135033000000007</v>
      </c>
      <c r="BU13">
        <v>18.996866000000001</v>
      </c>
      <c r="BV13">
        <v>5.7121810999999996</v>
      </c>
    </row>
    <row r="14" spans="1:74" x14ac:dyDescent="0.2">
      <c r="A14" t="s">
        <v>85</v>
      </c>
      <c r="B14">
        <v>400</v>
      </c>
      <c r="C14">
        <v>42.282162</v>
      </c>
      <c r="D14">
        <v>-71.141448999999994</v>
      </c>
      <c r="E14">
        <v>160.07001</v>
      </c>
      <c r="F14">
        <v>1396</v>
      </c>
      <c r="G14">
        <v>20.628473</v>
      </c>
      <c r="H14">
        <v>1105.01</v>
      </c>
      <c r="I14">
        <v>10</v>
      </c>
      <c r="J14" t="s">
        <v>68</v>
      </c>
      <c r="K14" t="s">
        <v>69</v>
      </c>
      <c r="L14">
        <v>1.9755484000000001</v>
      </c>
      <c r="M14">
        <v>0</v>
      </c>
      <c r="N14">
        <v>1950</v>
      </c>
      <c r="O14">
        <v>49.9</v>
      </c>
      <c r="P14">
        <v>46.4</v>
      </c>
      <c r="Q14">
        <v>3.6</v>
      </c>
      <c r="R14">
        <v>14.9</v>
      </c>
      <c r="S14">
        <v>1</v>
      </c>
      <c r="T14">
        <v>1.9</v>
      </c>
      <c r="U14">
        <v>1</v>
      </c>
      <c r="V14">
        <v>31.3</v>
      </c>
      <c r="W14">
        <v>3.1</v>
      </c>
      <c r="X14">
        <v>3.4</v>
      </c>
      <c r="Y14">
        <v>7.5</v>
      </c>
      <c r="Z14">
        <v>7.9</v>
      </c>
      <c r="AA14">
        <v>2.8</v>
      </c>
      <c r="AB14">
        <v>9.8000000000000007</v>
      </c>
      <c r="AC14">
        <v>16.899999999999999</v>
      </c>
      <c r="AD14">
        <v>29.6</v>
      </c>
      <c r="AE14">
        <v>19.100000000000001</v>
      </c>
      <c r="AF14">
        <v>38.6</v>
      </c>
      <c r="AG14">
        <v>3204</v>
      </c>
      <c r="AH14">
        <v>219</v>
      </c>
      <c r="AI14">
        <v>116</v>
      </c>
      <c r="AJ14">
        <v>213</v>
      </c>
      <c r="AK14">
        <v>147</v>
      </c>
      <c r="AL14">
        <v>79</v>
      </c>
      <c r="AM14">
        <v>170</v>
      </c>
      <c r="AN14">
        <v>337</v>
      </c>
      <c r="AO14">
        <v>494</v>
      </c>
      <c r="AP14">
        <v>176</v>
      </c>
      <c r="AQ14">
        <v>290</v>
      </c>
      <c r="AR14">
        <v>196</v>
      </c>
      <c r="AS14">
        <v>161</v>
      </c>
      <c r="AT14">
        <v>242</v>
      </c>
      <c r="AU14">
        <v>104</v>
      </c>
      <c r="AV14">
        <v>95</v>
      </c>
      <c r="AW14">
        <v>90</v>
      </c>
      <c r="AX14">
        <v>37</v>
      </c>
      <c r="AY14">
        <v>38</v>
      </c>
      <c r="AZ14">
        <v>38</v>
      </c>
      <c r="BA14">
        <v>86.9</v>
      </c>
      <c r="BB14">
        <v>6.3544111000000001</v>
      </c>
      <c r="BC14">
        <v>4.2640066000000001</v>
      </c>
      <c r="BD14">
        <v>1</v>
      </c>
      <c r="BE14">
        <v>0</v>
      </c>
      <c r="BF14">
        <v>0</v>
      </c>
      <c r="BG14">
        <v>1</v>
      </c>
      <c r="BH14">
        <v>0</v>
      </c>
      <c r="BI14">
        <v>936</v>
      </c>
      <c r="BJ14">
        <f t="shared" si="0"/>
        <v>4.3525018909397328</v>
      </c>
      <c r="BK14" s="10">
        <f t="shared" si="1"/>
        <v>1.6051282051282052E-2</v>
      </c>
      <c r="BL14">
        <f t="shared" si="2"/>
        <v>226</v>
      </c>
      <c r="BM14">
        <f t="shared" si="3"/>
        <v>0</v>
      </c>
      <c r="BQ14">
        <v>400</v>
      </c>
      <c r="BR14">
        <v>4.3525018909397328</v>
      </c>
      <c r="BS14">
        <v>226</v>
      </c>
      <c r="BT14">
        <v>-71.141448999999994</v>
      </c>
      <c r="BU14">
        <v>20.628473</v>
      </c>
      <c r="BV14">
        <v>6.3544111000000001</v>
      </c>
    </row>
    <row r="15" spans="1:74" x14ac:dyDescent="0.2">
      <c r="A15" t="s">
        <v>86</v>
      </c>
      <c r="B15">
        <v>4954</v>
      </c>
      <c r="C15">
        <v>42.347259999999999</v>
      </c>
      <c r="D15">
        <v>-71.167686000000003</v>
      </c>
      <c r="E15">
        <v>157.16999999999999</v>
      </c>
      <c r="F15">
        <v>1371</v>
      </c>
      <c r="G15">
        <v>19.545715000000001</v>
      </c>
      <c r="H15">
        <v>3.02</v>
      </c>
      <c r="I15">
        <v>127</v>
      </c>
      <c r="J15" t="s">
        <v>79</v>
      </c>
      <c r="K15" t="s">
        <v>66</v>
      </c>
      <c r="L15">
        <v>3.1956100000000001E-2</v>
      </c>
      <c r="M15">
        <v>1</v>
      </c>
      <c r="N15">
        <v>2257</v>
      </c>
      <c r="O15">
        <v>65.400000000000006</v>
      </c>
      <c r="P15">
        <v>58.6</v>
      </c>
      <c r="Q15">
        <v>6.8</v>
      </c>
      <c r="R15">
        <v>16.3</v>
      </c>
      <c r="S15">
        <v>5.0999999999999996</v>
      </c>
      <c r="T15">
        <v>0</v>
      </c>
      <c r="U15">
        <v>1.1000000000000001</v>
      </c>
      <c r="V15">
        <v>12</v>
      </c>
      <c r="W15">
        <v>6.8</v>
      </c>
      <c r="X15">
        <v>7</v>
      </c>
      <c r="Y15">
        <v>10.199999999999999</v>
      </c>
      <c r="Z15">
        <v>21.9</v>
      </c>
      <c r="AA15">
        <v>15.1</v>
      </c>
      <c r="AB15">
        <v>12.9</v>
      </c>
      <c r="AC15">
        <v>10.3</v>
      </c>
      <c r="AD15">
        <v>7.4</v>
      </c>
      <c r="AE15">
        <v>8.5</v>
      </c>
      <c r="AF15">
        <v>27.9</v>
      </c>
      <c r="AG15">
        <v>3227</v>
      </c>
      <c r="AH15">
        <v>98</v>
      </c>
      <c r="AI15">
        <v>36</v>
      </c>
      <c r="AJ15">
        <v>89</v>
      </c>
      <c r="AK15">
        <v>49</v>
      </c>
      <c r="AL15">
        <v>276</v>
      </c>
      <c r="AM15">
        <v>638</v>
      </c>
      <c r="AN15">
        <v>694</v>
      </c>
      <c r="AO15">
        <v>276</v>
      </c>
      <c r="AP15">
        <v>84</v>
      </c>
      <c r="AQ15">
        <v>71</v>
      </c>
      <c r="AR15">
        <v>83</v>
      </c>
      <c r="AS15">
        <v>286</v>
      </c>
      <c r="AT15">
        <v>124</v>
      </c>
      <c r="AU15">
        <v>53</v>
      </c>
      <c r="AV15">
        <v>154</v>
      </c>
      <c r="AW15">
        <v>95</v>
      </c>
      <c r="AX15">
        <v>47</v>
      </c>
      <c r="AY15">
        <v>74</v>
      </c>
      <c r="AZ15">
        <v>32.9</v>
      </c>
      <c r="BA15">
        <v>126.1</v>
      </c>
      <c r="BB15">
        <v>5.2362150999999999</v>
      </c>
      <c r="BC15">
        <v>3.2423017000000001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f t="shared" si="0"/>
        <v>2.7093524267383162</v>
      </c>
      <c r="BK15" s="10">
        <f t="shared" si="1"/>
        <v>5.316792202038104E-3</v>
      </c>
      <c r="BL15">
        <f t="shared" si="2"/>
        <v>325</v>
      </c>
      <c r="BM15">
        <f t="shared" si="3"/>
        <v>1</v>
      </c>
      <c r="BQ15">
        <v>4954</v>
      </c>
      <c r="BR15">
        <v>2.7093524267383162</v>
      </c>
      <c r="BS15">
        <v>325</v>
      </c>
      <c r="BT15">
        <v>-71.167686000000003</v>
      </c>
      <c r="BU15">
        <v>19.545715000000001</v>
      </c>
      <c r="BV15">
        <v>5.2362150999999999</v>
      </c>
    </row>
    <row r="16" spans="1:74" x14ac:dyDescent="0.2">
      <c r="A16" t="s">
        <v>87</v>
      </c>
      <c r="B16">
        <v>7454</v>
      </c>
      <c r="C16">
        <v>42.359081000000003</v>
      </c>
      <c r="D16">
        <v>-71.143990000000002</v>
      </c>
      <c r="E16">
        <v>263.75</v>
      </c>
      <c r="F16">
        <v>1695</v>
      </c>
      <c r="G16">
        <v>14.081516000000001</v>
      </c>
      <c r="H16">
        <v>1.02</v>
      </c>
      <c r="I16">
        <v>10</v>
      </c>
      <c r="J16" t="s">
        <v>88</v>
      </c>
      <c r="K16" t="s">
        <v>66</v>
      </c>
      <c r="L16">
        <v>0.57801771000000002</v>
      </c>
      <c r="M16">
        <v>0</v>
      </c>
      <c r="N16">
        <v>2526</v>
      </c>
      <c r="O16">
        <v>57.5</v>
      </c>
      <c r="P16">
        <v>54.6</v>
      </c>
      <c r="Q16">
        <v>2.9</v>
      </c>
      <c r="R16">
        <v>22.5</v>
      </c>
      <c r="S16">
        <v>4.2</v>
      </c>
      <c r="T16">
        <v>2.7</v>
      </c>
      <c r="U16">
        <v>0</v>
      </c>
      <c r="V16">
        <v>13</v>
      </c>
      <c r="W16">
        <v>3.1</v>
      </c>
      <c r="X16">
        <v>9.4</v>
      </c>
      <c r="Y16">
        <v>23.9</v>
      </c>
      <c r="Z16">
        <v>9.5</v>
      </c>
      <c r="AA16">
        <v>5.8</v>
      </c>
      <c r="AB16">
        <v>17.5</v>
      </c>
      <c r="AC16">
        <v>15.8</v>
      </c>
      <c r="AD16">
        <v>10.4</v>
      </c>
      <c r="AE16">
        <v>4.5999999999999996</v>
      </c>
      <c r="AF16">
        <v>26.9</v>
      </c>
      <c r="AG16">
        <v>4023</v>
      </c>
      <c r="AH16">
        <v>112</v>
      </c>
      <c r="AI16">
        <v>86</v>
      </c>
      <c r="AJ16">
        <v>94</v>
      </c>
      <c r="AK16">
        <v>276</v>
      </c>
      <c r="AL16">
        <v>305</v>
      </c>
      <c r="AM16">
        <v>1072</v>
      </c>
      <c r="AN16">
        <v>550</v>
      </c>
      <c r="AO16">
        <v>289</v>
      </c>
      <c r="AP16">
        <v>19</v>
      </c>
      <c r="AQ16">
        <v>148</v>
      </c>
      <c r="AR16">
        <v>323</v>
      </c>
      <c r="AS16">
        <v>67</v>
      </c>
      <c r="AT16">
        <v>104</v>
      </c>
      <c r="AU16">
        <v>80</v>
      </c>
      <c r="AV16">
        <v>289</v>
      </c>
      <c r="AW16">
        <v>114</v>
      </c>
      <c r="AX16">
        <v>32</v>
      </c>
      <c r="AY16">
        <v>63</v>
      </c>
      <c r="AZ16">
        <v>31.6</v>
      </c>
      <c r="BA16">
        <v>64.8</v>
      </c>
      <c r="BB16">
        <v>4.0071211</v>
      </c>
      <c r="BC16">
        <v>2.4530702</v>
      </c>
      <c r="BD16">
        <v>1</v>
      </c>
      <c r="BE16">
        <v>0</v>
      </c>
      <c r="BF16">
        <v>0</v>
      </c>
      <c r="BG16">
        <v>7</v>
      </c>
      <c r="BH16">
        <v>0</v>
      </c>
      <c r="BI16">
        <v>4990.5709999999999</v>
      </c>
      <c r="BJ16">
        <f t="shared" si="0"/>
        <v>1.7418627778768094</v>
      </c>
      <c r="BK16" s="10">
        <f t="shared" si="1"/>
        <v>5.1464766429136976E-3</v>
      </c>
      <c r="BL16">
        <f t="shared" si="2"/>
        <v>581</v>
      </c>
      <c r="BM16">
        <f t="shared" si="3"/>
        <v>1</v>
      </c>
      <c r="BQ16">
        <v>7454</v>
      </c>
      <c r="BR16">
        <v>1.7418627778768094</v>
      </c>
      <c r="BS16">
        <v>581</v>
      </c>
      <c r="BT16">
        <v>-71.143990000000002</v>
      </c>
      <c r="BU16">
        <v>14.081516000000001</v>
      </c>
      <c r="BV16">
        <v>4.0071211</v>
      </c>
    </row>
    <row r="17" spans="1:74" x14ac:dyDescent="0.2">
      <c r="A17" t="s">
        <v>89</v>
      </c>
      <c r="B17">
        <v>29446</v>
      </c>
      <c r="C17">
        <v>42.343165999999997</v>
      </c>
      <c r="D17">
        <v>-71.095848000000004</v>
      </c>
      <c r="E17">
        <v>10.72</v>
      </c>
      <c r="F17">
        <v>981</v>
      </c>
      <c r="G17">
        <v>134.14178000000001</v>
      </c>
      <c r="H17">
        <v>104.08</v>
      </c>
      <c r="I17">
        <v>10</v>
      </c>
      <c r="J17" t="s">
        <v>90</v>
      </c>
      <c r="K17" t="s">
        <v>91</v>
      </c>
      <c r="L17">
        <v>0.32794340999999999</v>
      </c>
      <c r="M17">
        <v>0</v>
      </c>
      <c r="N17">
        <v>916</v>
      </c>
      <c r="O17">
        <v>17.7</v>
      </c>
      <c r="P17">
        <v>16.7</v>
      </c>
      <c r="Q17">
        <v>1</v>
      </c>
      <c r="R17">
        <v>11.2</v>
      </c>
      <c r="S17">
        <v>51.1</v>
      </c>
      <c r="T17">
        <v>1.7</v>
      </c>
      <c r="U17">
        <v>0</v>
      </c>
      <c r="V17">
        <v>18.2</v>
      </c>
      <c r="W17">
        <v>13.1</v>
      </c>
      <c r="X17">
        <v>19.399999999999999</v>
      </c>
      <c r="Y17">
        <v>21.9</v>
      </c>
      <c r="Z17">
        <v>15.4</v>
      </c>
      <c r="AA17">
        <v>2.7</v>
      </c>
      <c r="AB17">
        <v>8.4</v>
      </c>
      <c r="AC17">
        <v>8.4</v>
      </c>
      <c r="AD17">
        <v>8.9</v>
      </c>
      <c r="AE17">
        <v>1.9</v>
      </c>
      <c r="AF17">
        <v>20.9</v>
      </c>
      <c r="AG17">
        <v>1280</v>
      </c>
      <c r="AH17">
        <v>11</v>
      </c>
      <c r="AI17">
        <v>25</v>
      </c>
      <c r="AJ17">
        <v>8</v>
      </c>
      <c r="AK17">
        <v>21</v>
      </c>
      <c r="AL17">
        <v>268</v>
      </c>
      <c r="AM17">
        <v>460</v>
      </c>
      <c r="AN17">
        <v>188</v>
      </c>
      <c r="AO17">
        <v>68</v>
      </c>
      <c r="AP17">
        <v>32</v>
      </c>
      <c r="AQ17">
        <v>56</v>
      </c>
      <c r="AR17">
        <v>41</v>
      </c>
      <c r="AS17">
        <v>19</v>
      </c>
      <c r="AT17">
        <v>62</v>
      </c>
      <c r="AU17">
        <v>0</v>
      </c>
      <c r="AV17">
        <v>14</v>
      </c>
      <c r="AW17">
        <v>0</v>
      </c>
      <c r="AX17">
        <v>0</v>
      </c>
      <c r="AY17">
        <v>7</v>
      </c>
      <c r="AZ17">
        <v>27.1</v>
      </c>
      <c r="BA17">
        <v>87.7</v>
      </c>
      <c r="BB17">
        <v>1.746591</v>
      </c>
      <c r="BC17">
        <v>0.61449229999999999</v>
      </c>
      <c r="BD17">
        <v>1</v>
      </c>
      <c r="BE17">
        <v>0</v>
      </c>
      <c r="BF17">
        <v>3</v>
      </c>
      <c r="BG17">
        <v>20</v>
      </c>
      <c r="BH17">
        <v>8969</v>
      </c>
      <c r="BI17">
        <v>11458.3</v>
      </c>
      <c r="BJ17">
        <f t="shared" si="0"/>
        <v>0.63250638021467742</v>
      </c>
      <c r="BK17" s="10">
        <f t="shared" si="1"/>
        <v>1.9868995633187773E-2</v>
      </c>
      <c r="BL17">
        <f t="shared" si="2"/>
        <v>289</v>
      </c>
      <c r="BM17">
        <f t="shared" si="3"/>
        <v>1</v>
      </c>
      <c r="BQ17">
        <v>29446</v>
      </c>
      <c r="BR17">
        <v>0.63250638021467742</v>
      </c>
      <c r="BS17">
        <v>289</v>
      </c>
      <c r="BT17">
        <v>-71.095848000000004</v>
      </c>
      <c r="BU17">
        <v>134.14178000000001</v>
      </c>
      <c r="BV17">
        <v>1.746591</v>
      </c>
    </row>
    <row r="18" spans="1:74" x14ac:dyDescent="0.2">
      <c r="A18" t="s">
        <v>92</v>
      </c>
      <c r="B18">
        <v>13127</v>
      </c>
      <c r="C18">
        <v>42.334556999999997</v>
      </c>
      <c r="D18">
        <v>-71.106826999999996</v>
      </c>
      <c r="E18">
        <v>138.30000000000001</v>
      </c>
      <c r="F18">
        <v>2581</v>
      </c>
      <c r="G18">
        <v>41.178595999999999</v>
      </c>
      <c r="H18">
        <v>810.01</v>
      </c>
      <c r="I18">
        <v>10</v>
      </c>
      <c r="J18" t="s">
        <v>93</v>
      </c>
      <c r="K18" t="s">
        <v>94</v>
      </c>
      <c r="L18">
        <v>4.1609460000000001E-2</v>
      </c>
      <c r="M18">
        <v>3</v>
      </c>
      <c r="N18">
        <v>2767</v>
      </c>
      <c r="O18">
        <v>14.3</v>
      </c>
      <c r="P18">
        <v>12.4</v>
      </c>
      <c r="Q18">
        <v>1.8</v>
      </c>
      <c r="R18">
        <v>28.4</v>
      </c>
      <c r="S18">
        <v>32.4</v>
      </c>
      <c r="T18">
        <v>2.2000000000000002</v>
      </c>
      <c r="U18">
        <v>4.0999999999999996</v>
      </c>
      <c r="V18">
        <v>18.7</v>
      </c>
      <c r="W18">
        <v>14.4</v>
      </c>
      <c r="X18">
        <v>7.7</v>
      </c>
      <c r="Y18">
        <v>18.100000000000001</v>
      </c>
      <c r="Z18">
        <v>15</v>
      </c>
      <c r="AA18">
        <v>5.0999999999999996</v>
      </c>
      <c r="AB18">
        <v>15.2</v>
      </c>
      <c r="AC18">
        <v>11.5</v>
      </c>
      <c r="AD18">
        <v>6.3</v>
      </c>
      <c r="AE18">
        <v>6.8</v>
      </c>
      <c r="AF18">
        <v>24.3</v>
      </c>
      <c r="AG18">
        <v>5230</v>
      </c>
      <c r="AH18">
        <v>151</v>
      </c>
      <c r="AI18">
        <v>156</v>
      </c>
      <c r="AJ18">
        <v>300</v>
      </c>
      <c r="AK18">
        <v>138</v>
      </c>
      <c r="AL18">
        <v>957</v>
      </c>
      <c r="AM18">
        <v>817</v>
      </c>
      <c r="AN18">
        <v>676</v>
      </c>
      <c r="AO18">
        <v>101</v>
      </c>
      <c r="AP18">
        <v>294</v>
      </c>
      <c r="AQ18">
        <v>16</v>
      </c>
      <c r="AR18">
        <v>441</v>
      </c>
      <c r="AS18">
        <v>149</v>
      </c>
      <c r="AT18">
        <v>300</v>
      </c>
      <c r="AU18">
        <v>266</v>
      </c>
      <c r="AV18">
        <v>88</v>
      </c>
      <c r="AW18">
        <v>9</v>
      </c>
      <c r="AX18">
        <v>137</v>
      </c>
      <c r="AY18">
        <v>234</v>
      </c>
      <c r="AZ18">
        <v>31.3</v>
      </c>
      <c r="BA18">
        <v>95.7</v>
      </c>
      <c r="BB18">
        <v>2.5351409999999999</v>
      </c>
      <c r="BC18">
        <v>0.23747744000000001</v>
      </c>
      <c r="BD18">
        <v>1</v>
      </c>
      <c r="BE18">
        <v>0</v>
      </c>
      <c r="BF18">
        <v>4</v>
      </c>
      <c r="BG18">
        <v>13</v>
      </c>
      <c r="BH18">
        <v>11122</v>
      </c>
      <c r="BI18">
        <v>8684.23</v>
      </c>
      <c r="BJ18">
        <f t="shared" si="0"/>
        <v>0.92162705363318809</v>
      </c>
      <c r="BK18" s="10">
        <f t="shared" si="1"/>
        <v>6.7582219009757862E-3</v>
      </c>
      <c r="BL18">
        <f t="shared" si="2"/>
        <v>1095</v>
      </c>
      <c r="BM18">
        <f t="shared" si="3"/>
        <v>1</v>
      </c>
      <c r="BQ18">
        <v>13127</v>
      </c>
      <c r="BR18">
        <v>0.92162705363318809</v>
      </c>
      <c r="BS18">
        <v>1095</v>
      </c>
      <c r="BT18">
        <v>-71.106826999999996</v>
      </c>
      <c r="BU18">
        <v>41.178595999999999</v>
      </c>
      <c r="BV18">
        <v>2.5351409999999999</v>
      </c>
    </row>
    <row r="19" spans="1:74" x14ac:dyDescent="0.2">
      <c r="A19" t="s">
        <v>95</v>
      </c>
      <c r="B19">
        <v>11848</v>
      </c>
      <c r="C19">
        <v>42.353991999999998</v>
      </c>
      <c r="D19">
        <v>-71.127883999999995</v>
      </c>
      <c r="E19">
        <v>91.389999000000003</v>
      </c>
      <c r="F19">
        <v>1956</v>
      </c>
      <c r="G19">
        <v>50.508808000000002</v>
      </c>
      <c r="H19">
        <v>8.0500000000000007</v>
      </c>
      <c r="I19">
        <v>10</v>
      </c>
      <c r="J19" t="s">
        <v>96</v>
      </c>
      <c r="K19" t="s">
        <v>66</v>
      </c>
      <c r="L19">
        <v>0.20907062000000001</v>
      </c>
      <c r="M19">
        <v>2</v>
      </c>
      <c r="N19">
        <v>1867</v>
      </c>
      <c r="O19">
        <v>18.5</v>
      </c>
      <c r="P19">
        <v>14.6</v>
      </c>
      <c r="Q19">
        <v>3.9</v>
      </c>
      <c r="R19">
        <v>29.3</v>
      </c>
      <c r="S19">
        <v>18.3</v>
      </c>
      <c r="T19">
        <v>5.7</v>
      </c>
      <c r="U19">
        <v>1.8</v>
      </c>
      <c r="V19">
        <v>26.4</v>
      </c>
      <c r="W19">
        <v>8.6</v>
      </c>
      <c r="X19">
        <v>8.6999999999999993</v>
      </c>
      <c r="Y19">
        <v>8.6999999999999993</v>
      </c>
      <c r="Z19">
        <v>9.3000000000000007</v>
      </c>
      <c r="AA19">
        <v>7.1</v>
      </c>
      <c r="AB19">
        <v>13</v>
      </c>
      <c r="AC19">
        <v>24.2</v>
      </c>
      <c r="AD19">
        <v>7.6</v>
      </c>
      <c r="AE19">
        <v>12.9</v>
      </c>
      <c r="AF19">
        <v>32.5</v>
      </c>
      <c r="AG19">
        <v>3123</v>
      </c>
      <c r="AH19">
        <v>121</v>
      </c>
      <c r="AI19">
        <v>50</v>
      </c>
      <c r="AJ19">
        <v>0</v>
      </c>
      <c r="AK19">
        <v>346</v>
      </c>
      <c r="AL19">
        <v>907</v>
      </c>
      <c r="AM19">
        <v>882</v>
      </c>
      <c r="AN19">
        <v>387</v>
      </c>
      <c r="AO19">
        <v>67</v>
      </c>
      <c r="AP19">
        <v>80</v>
      </c>
      <c r="AQ19">
        <v>0</v>
      </c>
      <c r="AR19">
        <v>59</v>
      </c>
      <c r="AS19">
        <v>15</v>
      </c>
      <c r="AT19">
        <v>64</v>
      </c>
      <c r="AU19">
        <v>20</v>
      </c>
      <c r="AV19">
        <v>25</v>
      </c>
      <c r="AW19">
        <v>0</v>
      </c>
      <c r="AX19">
        <v>0</v>
      </c>
      <c r="AY19">
        <v>100</v>
      </c>
      <c r="AZ19">
        <v>25.6</v>
      </c>
      <c r="BA19">
        <v>106.4</v>
      </c>
      <c r="BB19">
        <v>3.1763488999999998</v>
      </c>
      <c r="BC19">
        <v>1.5975187</v>
      </c>
      <c r="BD19">
        <v>1</v>
      </c>
      <c r="BE19">
        <v>0</v>
      </c>
      <c r="BF19">
        <v>3</v>
      </c>
      <c r="BG19">
        <v>15</v>
      </c>
      <c r="BH19">
        <v>5864</v>
      </c>
      <c r="BI19">
        <v>6722</v>
      </c>
      <c r="BJ19">
        <f t="shared" si="0"/>
        <v>0.96847485894726393</v>
      </c>
      <c r="BK19" s="10">
        <f t="shared" si="1"/>
        <v>1.4140332083556507E-2</v>
      </c>
      <c r="BL19">
        <f t="shared" si="2"/>
        <v>1253</v>
      </c>
      <c r="BM19">
        <f t="shared" si="3"/>
        <v>1</v>
      </c>
      <c r="BQ19">
        <v>11848</v>
      </c>
      <c r="BR19">
        <v>0.96847485894726393</v>
      </c>
      <c r="BS19">
        <v>1253</v>
      </c>
      <c r="BT19">
        <v>-71.127883999999995</v>
      </c>
      <c r="BU19">
        <v>50.508808000000002</v>
      </c>
      <c r="BV19">
        <v>3.1763488999999998</v>
      </c>
    </row>
    <row r="20" spans="1:74" x14ac:dyDescent="0.2">
      <c r="A20" t="s">
        <v>97</v>
      </c>
      <c r="B20">
        <v>7734</v>
      </c>
      <c r="C20">
        <v>42.350982999999999</v>
      </c>
      <c r="D20">
        <v>-71.145668000000001</v>
      </c>
      <c r="E20">
        <v>122.38</v>
      </c>
      <c r="F20">
        <v>1610</v>
      </c>
      <c r="G20">
        <v>30.707632</v>
      </c>
      <c r="H20">
        <v>6.01</v>
      </c>
      <c r="I20">
        <v>10</v>
      </c>
      <c r="J20" t="s">
        <v>98</v>
      </c>
      <c r="K20" t="s">
        <v>66</v>
      </c>
      <c r="L20">
        <v>0.56033087000000004</v>
      </c>
      <c r="M20">
        <v>0</v>
      </c>
      <c r="N20">
        <v>2462</v>
      </c>
      <c r="O20">
        <v>47.4</v>
      </c>
      <c r="P20">
        <v>34.1</v>
      </c>
      <c r="Q20">
        <v>13.3</v>
      </c>
      <c r="R20">
        <v>24.5</v>
      </c>
      <c r="S20">
        <v>6.6</v>
      </c>
      <c r="T20">
        <v>1.6</v>
      </c>
      <c r="U20">
        <v>2.8</v>
      </c>
      <c r="V20">
        <v>17.100000000000001</v>
      </c>
      <c r="W20">
        <v>4.5</v>
      </c>
      <c r="X20">
        <v>2.2000000000000002</v>
      </c>
      <c r="Y20">
        <v>26.1</v>
      </c>
      <c r="Z20">
        <v>7.2</v>
      </c>
      <c r="AA20">
        <v>9.3000000000000007</v>
      </c>
      <c r="AB20">
        <v>17.600000000000001</v>
      </c>
      <c r="AC20">
        <v>5.9</v>
      </c>
      <c r="AD20">
        <v>13.4</v>
      </c>
      <c r="AE20">
        <v>13.8</v>
      </c>
      <c r="AF20">
        <v>30.5</v>
      </c>
      <c r="AG20">
        <v>3620</v>
      </c>
      <c r="AH20">
        <v>0</v>
      </c>
      <c r="AI20">
        <v>29</v>
      </c>
      <c r="AJ20">
        <v>179</v>
      </c>
      <c r="AK20">
        <v>54</v>
      </c>
      <c r="AL20">
        <v>447</v>
      </c>
      <c r="AM20">
        <v>1003</v>
      </c>
      <c r="AN20">
        <v>450</v>
      </c>
      <c r="AO20">
        <v>171</v>
      </c>
      <c r="AP20">
        <v>116</v>
      </c>
      <c r="AQ20">
        <v>114</v>
      </c>
      <c r="AR20">
        <v>78</v>
      </c>
      <c r="AS20">
        <v>258</v>
      </c>
      <c r="AT20">
        <v>241</v>
      </c>
      <c r="AU20">
        <v>131</v>
      </c>
      <c r="AV20">
        <v>84</v>
      </c>
      <c r="AW20">
        <v>83</v>
      </c>
      <c r="AX20">
        <v>63</v>
      </c>
      <c r="AY20">
        <v>119</v>
      </c>
      <c r="AZ20">
        <v>31.2</v>
      </c>
      <c r="BA20">
        <v>89</v>
      </c>
      <c r="BB20">
        <v>4.0935192000000002</v>
      </c>
      <c r="BC20">
        <v>2.2435757999999999</v>
      </c>
      <c r="BD20">
        <v>1</v>
      </c>
      <c r="BE20">
        <v>0</v>
      </c>
      <c r="BF20">
        <v>2</v>
      </c>
      <c r="BG20">
        <v>6</v>
      </c>
      <c r="BH20">
        <v>812</v>
      </c>
      <c r="BI20">
        <v>2096.5</v>
      </c>
      <c r="BJ20">
        <f t="shared" si="0"/>
        <v>1.727830175434006</v>
      </c>
      <c r="BK20" s="10">
        <f t="shared" si="1"/>
        <v>6.9455727051177911E-3</v>
      </c>
      <c r="BL20">
        <f t="shared" si="2"/>
        <v>501</v>
      </c>
      <c r="BM20">
        <f t="shared" si="3"/>
        <v>1</v>
      </c>
      <c r="BQ20">
        <v>7734</v>
      </c>
      <c r="BR20">
        <v>1.727830175434006</v>
      </c>
      <c r="BS20">
        <v>501</v>
      </c>
      <c r="BT20">
        <v>-71.145668000000001</v>
      </c>
      <c r="BU20">
        <v>30.707632</v>
      </c>
      <c r="BV20">
        <v>4.0935192000000002</v>
      </c>
    </row>
    <row r="21" spans="1:74" x14ac:dyDescent="0.2">
      <c r="A21" t="s">
        <v>99</v>
      </c>
      <c r="B21">
        <v>7053</v>
      </c>
      <c r="C21">
        <v>42.360878</v>
      </c>
      <c r="D21">
        <v>-71.133049</v>
      </c>
      <c r="E21">
        <v>61.75</v>
      </c>
      <c r="F21">
        <v>726</v>
      </c>
      <c r="G21">
        <v>30.380568</v>
      </c>
      <c r="H21">
        <v>1.01</v>
      </c>
      <c r="I21">
        <v>10</v>
      </c>
      <c r="J21" t="s">
        <v>96</v>
      </c>
      <c r="K21" t="s">
        <v>66</v>
      </c>
      <c r="L21">
        <v>0.86681622000000003</v>
      </c>
      <c r="M21">
        <v>0</v>
      </c>
      <c r="N21">
        <v>1055</v>
      </c>
      <c r="O21">
        <v>52.7</v>
      </c>
      <c r="P21">
        <v>43.8</v>
      </c>
      <c r="Q21">
        <v>8.9</v>
      </c>
      <c r="R21">
        <v>23.8</v>
      </c>
      <c r="S21">
        <v>5.7</v>
      </c>
      <c r="T21">
        <v>9.1999999999999993</v>
      </c>
      <c r="U21">
        <v>0.4</v>
      </c>
      <c r="V21">
        <v>8.1999999999999993</v>
      </c>
      <c r="W21">
        <v>3.4</v>
      </c>
      <c r="X21">
        <v>11.1</v>
      </c>
      <c r="Y21">
        <v>11.9</v>
      </c>
      <c r="Z21">
        <v>4.3</v>
      </c>
      <c r="AA21">
        <v>12.5</v>
      </c>
      <c r="AB21">
        <v>16.5</v>
      </c>
      <c r="AC21">
        <v>16.2</v>
      </c>
      <c r="AD21">
        <v>13.2</v>
      </c>
      <c r="AE21">
        <v>10.8</v>
      </c>
      <c r="AF21">
        <v>32.799999999999997</v>
      </c>
      <c r="AG21">
        <v>1666</v>
      </c>
      <c r="AH21">
        <v>13</v>
      </c>
      <c r="AI21">
        <v>62</v>
      </c>
      <c r="AJ21">
        <v>75</v>
      </c>
      <c r="AK21">
        <v>80</v>
      </c>
      <c r="AL21">
        <v>333</v>
      </c>
      <c r="AM21">
        <v>387</v>
      </c>
      <c r="AN21">
        <v>263</v>
      </c>
      <c r="AO21">
        <v>92</v>
      </c>
      <c r="AP21">
        <v>84</v>
      </c>
      <c r="AQ21">
        <v>121</v>
      </c>
      <c r="AR21">
        <v>27</v>
      </c>
      <c r="AS21">
        <v>33</v>
      </c>
      <c r="AT21">
        <v>25</v>
      </c>
      <c r="AU21">
        <v>71</v>
      </c>
      <c r="AV21">
        <v>0</v>
      </c>
      <c r="AW21">
        <v>0</v>
      </c>
      <c r="AX21">
        <v>0</v>
      </c>
      <c r="AY21">
        <v>0</v>
      </c>
      <c r="AZ21">
        <v>28.5</v>
      </c>
      <c r="BA21">
        <v>115.5</v>
      </c>
      <c r="BB21">
        <v>3.4620907000000001</v>
      </c>
      <c r="BC21">
        <v>2.1242716000000001</v>
      </c>
      <c r="BD21">
        <v>1</v>
      </c>
      <c r="BE21">
        <v>0</v>
      </c>
      <c r="BF21">
        <v>1</v>
      </c>
      <c r="BG21">
        <v>7</v>
      </c>
      <c r="BH21">
        <v>5680</v>
      </c>
      <c r="BI21">
        <v>4721.4290000000001</v>
      </c>
      <c r="BJ21">
        <f t="shared" si="0"/>
        <v>1.3400017939460749</v>
      </c>
      <c r="BK21" s="10">
        <f t="shared" si="1"/>
        <v>7.7725118483412316E-3</v>
      </c>
      <c r="BL21">
        <f t="shared" si="2"/>
        <v>413</v>
      </c>
      <c r="BM21">
        <f t="shared" si="3"/>
        <v>1</v>
      </c>
      <c r="BQ21">
        <v>7053</v>
      </c>
      <c r="BR21">
        <v>1.3400017939460749</v>
      </c>
      <c r="BS21">
        <v>413</v>
      </c>
      <c r="BT21">
        <v>-71.133049</v>
      </c>
      <c r="BU21">
        <v>30.380568</v>
      </c>
      <c r="BV21">
        <v>3.4620907000000001</v>
      </c>
    </row>
    <row r="22" spans="1:74" x14ac:dyDescent="0.2">
      <c r="A22" t="s">
        <v>100</v>
      </c>
      <c r="B22">
        <v>5413</v>
      </c>
      <c r="C22">
        <v>42.332954000000001</v>
      </c>
      <c r="D22">
        <v>-71.117232999999999</v>
      </c>
      <c r="E22">
        <v>98.360000999999997</v>
      </c>
      <c r="F22">
        <v>2167</v>
      </c>
      <c r="G22">
        <v>44.265960999999997</v>
      </c>
      <c r="H22">
        <v>4009</v>
      </c>
      <c r="I22">
        <v>4</v>
      </c>
      <c r="J22" t="s">
        <v>101</v>
      </c>
      <c r="K22" t="s">
        <v>75</v>
      </c>
      <c r="L22">
        <v>0.19990134000000001</v>
      </c>
      <c r="M22">
        <v>1</v>
      </c>
      <c r="N22">
        <v>2266</v>
      </c>
      <c r="O22">
        <v>16.2</v>
      </c>
      <c r="P22">
        <v>15.2</v>
      </c>
      <c r="Q22">
        <v>1.1000000000000001</v>
      </c>
      <c r="R22">
        <v>18.7</v>
      </c>
      <c r="S22">
        <v>32.799999999999997</v>
      </c>
      <c r="T22">
        <v>0.4</v>
      </c>
      <c r="U22">
        <v>0.6</v>
      </c>
      <c r="V22">
        <v>31.2</v>
      </c>
      <c r="W22">
        <v>3.4000000000000002E-2</v>
      </c>
      <c r="X22">
        <v>0.11600000000000001</v>
      </c>
      <c r="Y22">
        <v>0.26200000000000001</v>
      </c>
      <c r="Z22">
        <v>0.13</v>
      </c>
      <c r="AA22">
        <v>6.3E-2</v>
      </c>
      <c r="AB22">
        <v>0.21</v>
      </c>
      <c r="AC22">
        <v>0.04</v>
      </c>
      <c r="AD22">
        <v>0.09</v>
      </c>
      <c r="AE22">
        <v>5.3999999999999999E-2</v>
      </c>
      <c r="AF22">
        <v>25.1</v>
      </c>
      <c r="AG22">
        <v>3884</v>
      </c>
      <c r="AH22">
        <v>148</v>
      </c>
      <c r="AI22">
        <v>203</v>
      </c>
      <c r="AJ22">
        <v>204</v>
      </c>
      <c r="AK22">
        <v>67</v>
      </c>
      <c r="AL22">
        <v>421</v>
      </c>
      <c r="AM22">
        <v>514</v>
      </c>
      <c r="AN22">
        <v>343</v>
      </c>
      <c r="AO22">
        <v>259</v>
      </c>
      <c r="AP22">
        <v>388</v>
      </c>
      <c r="AQ22">
        <v>142</v>
      </c>
      <c r="AR22">
        <v>132</v>
      </c>
      <c r="AS22">
        <v>167</v>
      </c>
      <c r="AT22">
        <v>284</v>
      </c>
      <c r="AU22">
        <v>139</v>
      </c>
      <c r="AV22">
        <v>118</v>
      </c>
      <c r="AW22">
        <v>122</v>
      </c>
      <c r="AX22">
        <v>74</v>
      </c>
      <c r="AY22">
        <v>159</v>
      </c>
      <c r="AZ22">
        <v>36.200000000000003</v>
      </c>
      <c r="BA22">
        <v>98.7</v>
      </c>
      <c r="BB22">
        <v>3.0444713000000001</v>
      </c>
      <c r="BC22">
        <v>0.68851554000000004</v>
      </c>
      <c r="BD22">
        <v>0</v>
      </c>
      <c r="BE22">
        <v>0</v>
      </c>
      <c r="BF22">
        <v>2</v>
      </c>
      <c r="BG22">
        <v>6</v>
      </c>
      <c r="BH22">
        <v>5504.5</v>
      </c>
      <c r="BI22">
        <v>5818.8329999999996</v>
      </c>
      <c r="BJ22">
        <f t="shared" si="0"/>
        <v>1.1185385554942537</v>
      </c>
      <c r="BK22" s="10">
        <f t="shared" si="1"/>
        <v>1.3768755516328331E-2</v>
      </c>
      <c r="BL22">
        <f t="shared" si="2"/>
        <v>488</v>
      </c>
      <c r="BM22">
        <f t="shared" si="3"/>
        <v>1</v>
      </c>
      <c r="BQ22">
        <v>5413</v>
      </c>
      <c r="BR22">
        <v>1.1185385554942537</v>
      </c>
      <c r="BS22">
        <v>488</v>
      </c>
      <c r="BT22">
        <v>-71.117232999999999</v>
      </c>
      <c r="BU22">
        <v>44.265960999999997</v>
      </c>
      <c r="BV22">
        <v>3.0444713000000001</v>
      </c>
    </row>
    <row r="23" spans="1:74" x14ac:dyDescent="0.2">
      <c r="A23" t="s">
        <v>102</v>
      </c>
      <c r="B23">
        <v>10030</v>
      </c>
      <c r="C23">
        <v>42.332954000000001</v>
      </c>
      <c r="D23">
        <v>-71.117232999999999</v>
      </c>
      <c r="E23">
        <v>98.360000999999997</v>
      </c>
      <c r="F23">
        <v>2167</v>
      </c>
      <c r="G23">
        <v>44.265960999999997</v>
      </c>
      <c r="H23">
        <v>4009</v>
      </c>
      <c r="I23">
        <v>4</v>
      </c>
      <c r="J23" t="s">
        <v>101</v>
      </c>
      <c r="K23" t="s">
        <v>75</v>
      </c>
      <c r="L23">
        <v>3.8864049999999997E-2</v>
      </c>
      <c r="M23">
        <v>2</v>
      </c>
      <c r="N23">
        <v>2266</v>
      </c>
      <c r="O23">
        <v>16.2</v>
      </c>
      <c r="P23">
        <v>15.2</v>
      </c>
      <c r="Q23">
        <v>1.1000000000000001</v>
      </c>
      <c r="R23">
        <v>18.7</v>
      </c>
      <c r="S23">
        <v>32.799999999999997</v>
      </c>
      <c r="T23">
        <v>0.4</v>
      </c>
      <c r="U23">
        <v>0.6</v>
      </c>
      <c r="V23">
        <v>31.2</v>
      </c>
      <c r="W23">
        <v>3.4000000000000002E-2</v>
      </c>
      <c r="X23">
        <v>0.11600000000000001</v>
      </c>
      <c r="Y23">
        <v>0.26200000000000001</v>
      </c>
      <c r="Z23">
        <v>0.13</v>
      </c>
      <c r="AA23">
        <v>6.3E-2</v>
      </c>
      <c r="AB23">
        <v>0.21</v>
      </c>
      <c r="AC23">
        <v>0.04</v>
      </c>
      <c r="AD23">
        <v>0.09</v>
      </c>
      <c r="AE23">
        <v>5.3999999999999999E-2</v>
      </c>
      <c r="AF23">
        <v>25.1</v>
      </c>
      <c r="AG23">
        <v>3884</v>
      </c>
      <c r="AH23">
        <v>148</v>
      </c>
      <c r="AI23">
        <v>203</v>
      </c>
      <c r="AJ23">
        <v>204</v>
      </c>
      <c r="AK23">
        <v>67</v>
      </c>
      <c r="AL23">
        <v>421</v>
      </c>
      <c r="AM23">
        <v>514</v>
      </c>
      <c r="AN23">
        <v>343</v>
      </c>
      <c r="AO23">
        <v>259</v>
      </c>
      <c r="AP23">
        <v>388</v>
      </c>
      <c r="AQ23">
        <v>142</v>
      </c>
      <c r="AR23">
        <v>132</v>
      </c>
      <c r="AS23">
        <v>167</v>
      </c>
      <c r="AT23">
        <v>284</v>
      </c>
      <c r="AU23">
        <v>139</v>
      </c>
      <c r="AV23">
        <v>118</v>
      </c>
      <c r="AW23">
        <v>122</v>
      </c>
      <c r="AX23">
        <v>74</v>
      </c>
      <c r="AY23">
        <v>159</v>
      </c>
      <c r="AZ23">
        <v>36.200000000000003</v>
      </c>
      <c r="BA23">
        <v>98.7</v>
      </c>
      <c r="BB23">
        <v>3.0444713000000001</v>
      </c>
      <c r="BC23">
        <v>0.68851554000000004</v>
      </c>
      <c r="BD23">
        <v>0</v>
      </c>
      <c r="BE23">
        <v>0</v>
      </c>
      <c r="BF23">
        <v>2</v>
      </c>
      <c r="BG23">
        <v>5</v>
      </c>
      <c r="BH23">
        <v>3196</v>
      </c>
      <c r="BI23">
        <v>5005</v>
      </c>
      <c r="BJ23">
        <f t="shared" si="0"/>
        <v>1.1185385554942537</v>
      </c>
      <c r="BK23" s="10">
        <f t="shared" si="1"/>
        <v>1.3768755516328331E-2</v>
      </c>
      <c r="BL23">
        <f t="shared" si="2"/>
        <v>488</v>
      </c>
      <c r="BM23">
        <f t="shared" si="3"/>
        <v>1</v>
      </c>
      <c r="BQ23">
        <v>10030</v>
      </c>
      <c r="BR23">
        <v>1.1185385554942537</v>
      </c>
      <c r="BS23">
        <v>488</v>
      </c>
      <c r="BT23">
        <v>-71.117232999999999</v>
      </c>
      <c r="BU23">
        <v>44.265960999999997</v>
      </c>
      <c r="BV23">
        <v>3.0444713000000001</v>
      </c>
    </row>
    <row r="24" spans="1:74" x14ac:dyDescent="0.2">
      <c r="A24" t="s">
        <v>103</v>
      </c>
      <c r="B24">
        <v>8637</v>
      </c>
      <c r="C24">
        <v>42.346474000000001</v>
      </c>
      <c r="D24">
        <v>-71.103431999999998</v>
      </c>
      <c r="E24">
        <v>62.759998000000003</v>
      </c>
      <c r="F24">
        <v>1338</v>
      </c>
      <c r="G24">
        <v>54.859783</v>
      </c>
      <c r="H24">
        <v>102.04</v>
      </c>
      <c r="I24">
        <v>10</v>
      </c>
      <c r="J24" t="s">
        <v>104</v>
      </c>
      <c r="K24" t="s">
        <v>75</v>
      </c>
      <c r="L24">
        <v>0.19095765000000001</v>
      </c>
      <c r="M24">
        <v>2</v>
      </c>
      <c r="N24">
        <v>1396</v>
      </c>
      <c r="O24">
        <v>14.2</v>
      </c>
      <c r="P24">
        <v>9.5</v>
      </c>
      <c r="Q24">
        <v>4.7</v>
      </c>
      <c r="R24">
        <v>14.3</v>
      </c>
      <c r="S24">
        <v>48.6</v>
      </c>
      <c r="T24">
        <v>3.5</v>
      </c>
      <c r="U24">
        <v>3.3</v>
      </c>
      <c r="V24">
        <v>16.100000000000001</v>
      </c>
      <c r="W24">
        <v>15.5</v>
      </c>
      <c r="X24">
        <v>22.8</v>
      </c>
      <c r="Y24">
        <v>16.399999999999999</v>
      </c>
      <c r="Z24">
        <v>10.8</v>
      </c>
      <c r="AA24">
        <v>4.3</v>
      </c>
      <c r="AB24">
        <v>15.9</v>
      </c>
      <c r="AC24">
        <v>4.2</v>
      </c>
      <c r="AD24">
        <v>5.0999999999999996</v>
      </c>
      <c r="AE24">
        <v>5</v>
      </c>
      <c r="AF24">
        <v>23.3</v>
      </c>
      <c r="AG24">
        <v>3098</v>
      </c>
      <c r="AH24">
        <v>19</v>
      </c>
      <c r="AI24">
        <v>0</v>
      </c>
      <c r="AJ24">
        <v>8</v>
      </c>
      <c r="AK24">
        <v>1022</v>
      </c>
      <c r="AL24">
        <v>1186</v>
      </c>
      <c r="AM24">
        <v>307</v>
      </c>
      <c r="AN24">
        <v>221</v>
      </c>
      <c r="AO24">
        <v>122</v>
      </c>
      <c r="AP24">
        <v>12</v>
      </c>
      <c r="AQ24">
        <v>4</v>
      </c>
      <c r="AR24">
        <v>90</v>
      </c>
      <c r="AS24">
        <v>12</v>
      </c>
      <c r="AT24">
        <v>18</v>
      </c>
      <c r="AU24">
        <v>44</v>
      </c>
      <c r="AV24">
        <v>2</v>
      </c>
      <c r="AW24">
        <v>4</v>
      </c>
      <c r="AX24">
        <v>27</v>
      </c>
      <c r="AY24">
        <v>0</v>
      </c>
      <c r="AZ24">
        <v>21.2</v>
      </c>
      <c r="BA24">
        <v>65.2</v>
      </c>
      <c r="BB24">
        <v>2.0170113999999999</v>
      </c>
      <c r="BC24">
        <v>0.60518353999999996</v>
      </c>
      <c r="BD24">
        <v>1</v>
      </c>
      <c r="BE24">
        <v>0</v>
      </c>
      <c r="BF24">
        <v>4</v>
      </c>
      <c r="BG24">
        <v>16</v>
      </c>
      <c r="BH24">
        <v>20205.25</v>
      </c>
      <c r="BI24">
        <v>12545.25</v>
      </c>
      <c r="BJ24">
        <f t="shared" si="0"/>
        <v>0.25405605411544441</v>
      </c>
      <c r="BK24" s="10">
        <f t="shared" si="1"/>
        <v>1.1532951289398281E-2</v>
      </c>
      <c r="BL24">
        <f t="shared" si="2"/>
        <v>2208</v>
      </c>
      <c r="BM24">
        <f t="shared" si="3"/>
        <v>1</v>
      </c>
      <c r="BQ24">
        <v>8637</v>
      </c>
      <c r="BR24">
        <v>0.25405605411544441</v>
      </c>
      <c r="BS24">
        <v>2208</v>
      </c>
      <c r="BT24">
        <v>-71.103431999999998</v>
      </c>
      <c r="BU24">
        <v>54.859783</v>
      </c>
      <c r="BV24">
        <v>2.0170113999999999</v>
      </c>
    </row>
    <row r="25" spans="1:74" x14ac:dyDescent="0.2">
      <c r="A25" t="s">
        <v>105</v>
      </c>
      <c r="B25">
        <v>1185</v>
      </c>
      <c r="C25">
        <v>42.368865999999997</v>
      </c>
      <c r="D25">
        <v>-71.204864999999998</v>
      </c>
      <c r="E25">
        <v>338.45999</v>
      </c>
      <c r="F25">
        <v>1890</v>
      </c>
      <c r="G25">
        <v>11.032323</v>
      </c>
      <c r="H25">
        <v>3701.04</v>
      </c>
      <c r="I25">
        <v>127</v>
      </c>
      <c r="J25" t="s">
        <v>79</v>
      </c>
      <c r="K25" t="s">
        <v>66</v>
      </c>
      <c r="L25">
        <v>2.4843706999999999</v>
      </c>
      <c r="M25">
        <v>0</v>
      </c>
      <c r="N25">
        <v>2311</v>
      </c>
      <c r="O25">
        <v>61.3</v>
      </c>
      <c r="P25">
        <v>58.2</v>
      </c>
      <c r="Q25">
        <v>3.2</v>
      </c>
      <c r="R25">
        <v>5.0999999999999996</v>
      </c>
      <c r="S25">
        <v>2.7</v>
      </c>
      <c r="T25">
        <v>3.4</v>
      </c>
      <c r="U25">
        <v>0.4</v>
      </c>
      <c r="V25">
        <v>27.2</v>
      </c>
      <c r="W25">
        <v>5.8</v>
      </c>
      <c r="X25">
        <v>9.6999999999999993</v>
      </c>
      <c r="Y25">
        <v>11.6</v>
      </c>
      <c r="Z25">
        <v>14.8</v>
      </c>
      <c r="AA25">
        <v>15.4</v>
      </c>
      <c r="AB25">
        <v>26.1</v>
      </c>
      <c r="AC25">
        <v>6.3</v>
      </c>
      <c r="AD25">
        <v>5.4</v>
      </c>
      <c r="AE25">
        <v>4.9000000000000004</v>
      </c>
      <c r="AF25">
        <v>27.8</v>
      </c>
      <c r="AG25">
        <v>4343</v>
      </c>
      <c r="AH25">
        <v>381</v>
      </c>
      <c r="AI25">
        <v>133</v>
      </c>
      <c r="AJ25">
        <v>294</v>
      </c>
      <c r="AK25">
        <v>182</v>
      </c>
      <c r="AL25">
        <v>83</v>
      </c>
      <c r="AM25">
        <v>483</v>
      </c>
      <c r="AN25">
        <v>697</v>
      </c>
      <c r="AO25">
        <v>424</v>
      </c>
      <c r="AP25">
        <v>396</v>
      </c>
      <c r="AQ25">
        <v>169</v>
      </c>
      <c r="AR25">
        <v>173</v>
      </c>
      <c r="AS25">
        <v>176</v>
      </c>
      <c r="AT25">
        <v>194</v>
      </c>
      <c r="AU25">
        <v>260</v>
      </c>
      <c r="AV25">
        <v>49</v>
      </c>
      <c r="AW25">
        <v>97</v>
      </c>
      <c r="AX25">
        <v>19</v>
      </c>
      <c r="AY25">
        <v>133</v>
      </c>
      <c r="AZ25">
        <v>34.700000000000003</v>
      </c>
      <c r="BA25">
        <v>100.8</v>
      </c>
      <c r="BB25">
        <v>7.1687998999999998</v>
      </c>
      <c r="BC25">
        <v>5.5083637000000003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856</v>
      </c>
      <c r="BJ25">
        <f t="shared" si="0"/>
        <v>4.5024570379932367</v>
      </c>
      <c r="BK25" s="10">
        <f t="shared" si="1"/>
        <v>1.1769796624837733E-2</v>
      </c>
      <c r="BL25">
        <f t="shared" si="2"/>
        <v>265</v>
      </c>
      <c r="BM25">
        <f t="shared" si="3"/>
        <v>1</v>
      </c>
      <c r="BQ25">
        <v>1185</v>
      </c>
      <c r="BR25">
        <v>4.5024570379932367</v>
      </c>
      <c r="BS25">
        <v>265</v>
      </c>
      <c r="BT25">
        <v>-71.204864999999998</v>
      </c>
      <c r="BU25">
        <v>11.032323</v>
      </c>
      <c r="BV25">
        <v>7.1687998999999998</v>
      </c>
    </row>
    <row r="26" spans="1:74" x14ac:dyDescent="0.2">
      <c r="A26" t="s">
        <v>107</v>
      </c>
      <c r="B26">
        <v>418</v>
      </c>
      <c r="C26">
        <v>42.336784000000002</v>
      </c>
      <c r="D26">
        <v>-71.203986999999998</v>
      </c>
      <c r="E26">
        <v>589.37</v>
      </c>
      <c r="F26">
        <v>1408</v>
      </c>
      <c r="G26">
        <v>6.5391859999999999</v>
      </c>
      <c r="H26">
        <v>3737</v>
      </c>
      <c r="I26">
        <v>127</v>
      </c>
      <c r="J26" t="s">
        <v>108</v>
      </c>
      <c r="K26" t="s">
        <v>75</v>
      </c>
      <c r="L26">
        <v>0.47106025000000001</v>
      </c>
      <c r="M26">
        <v>0</v>
      </c>
      <c r="N26">
        <v>2001</v>
      </c>
      <c r="O26">
        <v>55.2</v>
      </c>
      <c r="P26">
        <v>48.5</v>
      </c>
      <c r="Q26">
        <v>6.7</v>
      </c>
      <c r="R26">
        <v>13.6</v>
      </c>
      <c r="S26">
        <v>0.4</v>
      </c>
      <c r="T26">
        <v>0.9</v>
      </c>
      <c r="U26">
        <v>0.5</v>
      </c>
      <c r="V26">
        <v>29.2</v>
      </c>
      <c r="W26">
        <v>1.8</v>
      </c>
      <c r="X26">
        <v>10.1</v>
      </c>
      <c r="Y26">
        <v>14.1</v>
      </c>
      <c r="Z26">
        <v>17.899999999999999</v>
      </c>
      <c r="AA26">
        <v>10.9</v>
      </c>
      <c r="AB26">
        <v>15.7</v>
      </c>
      <c r="AC26">
        <v>9</v>
      </c>
      <c r="AD26">
        <v>9.1999999999999993</v>
      </c>
      <c r="AE26">
        <v>11.5</v>
      </c>
      <c r="AF26">
        <v>29.1</v>
      </c>
      <c r="AG26">
        <v>3713</v>
      </c>
      <c r="AH26">
        <v>93</v>
      </c>
      <c r="AI26">
        <v>299</v>
      </c>
      <c r="AJ26">
        <v>296</v>
      </c>
      <c r="AK26">
        <v>189</v>
      </c>
      <c r="AL26">
        <v>157</v>
      </c>
      <c r="AM26">
        <v>130</v>
      </c>
      <c r="AN26">
        <v>121</v>
      </c>
      <c r="AO26">
        <v>135</v>
      </c>
      <c r="AP26">
        <v>259</v>
      </c>
      <c r="AQ26">
        <v>303</v>
      </c>
      <c r="AR26">
        <v>147</v>
      </c>
      <c r="AS26">
        <v>267</v>
      </c>
      <c r="AT26">
        <v>330</v>
      </c>
      <c r="AU26">
        <v>424</v>
      </c>
      <c r="AV26">
        <v>315</v>
      </c>
      <c r="AW26">
        <v>87</v>
      </c>
      <c r="AX26">
        <v>78</v>
      </c>
      <c r="AY26">
        <v>83</v>
      </c>
      <c r="AZ26">
        <v>47.9</v>
      </c>
      <c r="BA26">
        <v>92.8</v>
      </c>
      <c r="BB26">
        <v>7.1748915000000002</v>
      </c>
      <c r="BC26">
        <v>5.0313344000000004</v>
      </c>
      <c r="BD26">
        <v>0</v>
      </c>
      <c r="BE26">
        <v>1</v>
      </c>
      <c r="BF26">
        <v>0</v>
      </c>
      <c r="BG26">
        <v>2</v>
      </c>
      <c r="BH26">
        <v>0</v>
      </c>
      <c r="BI26">
        <v>443</v>
      </c>
      <c r="BJ26">
        <f t="shared" si="0"/>
        <v>4.3889704215754302</v>
      </c>
      <c r="BK26" s="10">
        <f t="shared" si="1"/>
        <v>1.4592703648175913E-2</v>
      </c>
      <c r="BL26">
        <f t="shared" si="2"/>
        <v>346</v>
      </c>
      <c r="BM26">
        <f t="shared" si="3"/>
        <v>1</v>
      </c>
      <c r="BQ26">
        <v>418</v>
      </c>
      <c r="BR26">
        <v>4.3889704215754302</v>
      </c>
      <c r="BS26">
        <v>346</v>
      </c>
      <c r="BT26">
        <v>-71.203986999999998</v>
      </c>
      <c r="BU26">
        <v>6.5391859999999999</v>
      </c>
      <c r="BV26">
        <v>7.1748915000000002</v>
      </c>
    </row>
    <row r="27" spans="1:74" x14ac:dyDescent="0.2">
      <c r="A27" t="s">
        <v>109</v>
      </c>
      <c r="B27">
        <v>582</v>
      </c>
      <c r="C27">
        <v>42.287331000000002</v>
      </c>
      <c r="D27">
        <v>-71.157013000000006</v>
      </c>
      <c r="E27">
        <v>334.23000999999999</v>
      </c>
      <c r="F27">
        <v>1995</v>
      </c>
      <c r="G27">
        <v>14.086107999999999</v>
      </c>
      <c r="H27">
        <v>1302</v>
      </c>
      <c r="I27">
        <v>10</v>
      </c>
      <c r="J27" t="s">
        <v>68</v>
      </c>
      <c r="K27" t="s">
        <v>69</v>
      </c>
      <c r="L27">
        <v>2.5321289999999999</v>
      </c>
      <c r="M27">
        <v>0</v>
      </c>
      <c r="N27">
        <v>2373</v>
      </c>
      <c r="O27">
        <v>61.2</v>
      </c>
      <c r="P27">
        <v>55.1</v>
      </c>
      <c r="Q27">
        <v>6.1</v>
      </c>
      <c r="R27">
        <v>10.1</v>
      </c>
      <c r="S27">
        <v>0.1</v>
      </c>
      <c r="T27">
        <v>0</v>
      </c>
      <c r="U27">
        <v>1.1000000000000001</v>
      </c>
      <c r="V27">
        <v>27.6</v>
      </c>
      <c r="W27">
        <v>4.5999999999999996</v>
      </c>
      <c r="X27">
        <v>10.5</v>
      </c>
      <c r="Y27">
        <v>5.0999999999999996</v>
      </c>
      <c r="Z27">
        <v>15</v>
      </c>
      <c r="AA27">
        <v>13.8</v>
      </c>
      <c r="AB27">
        <v>20.399999999999999</v>
      </c>
      <c r="AC27">
        <v>10.1</v>
      </c>
      <c r="AD27">
        <v>12.8</v>
      </c>
      <c r="AE27">
        <v>7.7</v>
      </c>
      <c r="AF27">
        <v>30</v>
      </c>
      <c r="AG27">
        <v>4516</v>
      </c>
      <c r="AH27">
        <v>278</v>
      </c>
      <c r="AI27">
        <v>250</v>
      </c>
      <c r="AJ27">
        <v>300</v>
      </c>
      <c r="AK27">
        <v>164</v>
      </c>
      <c r="AL27">
        <v>153</v>
      </c>
      <c r="AM27">
        <v>138</v>
      </c>
      <c r="AN27">
        <v>316</v>
      </c>
      <c r="AO27">
        <v>455</v>
      </c>
      <c r="AP27">
        <v>359</v>
      </c>
      <c r="AQ27">
        <v>281</v>
      </c>
      <c r="AR27">
        <v>274</v>
      </c>
      <c r="AS27">
        <v>371</v>
      </c>
      <c r="AT27">
        <v>345</v>
      </c>
      <c r="AU27">
        <v>204</v>
      </c>
      <c r="AV27">
        <v>319</v>
      </c>
      <c r="AW27">
        <v>221</v>
      </c>
      <c r="AX27">
        <v>39</v>
      </c>
      <c r="AY27">
        <v>49</v>
      </c>
      <c r="AZ27">
        <v>42.8</v>
      </c>
      <c r="BA27">
        <v>91.1</v>
      </c>
      <c r="BB27">
        <v>6.6099825000000001</v>
      </c>
      <c r="BC27">
        <v>4.3720898999999998</v>
      </c>
      <c r="BD27">
        <v>1</v>
      </c>
      <c r="BE27">
        <v>0</v>
      </c>
      <c r="BF27">
        <v>0</v>
      </c>
      <c r="BG27">
        <v>2</v>
      </c>
      <c r="BH27">
        <v>0</v>
      </c>
      <c r="BI27">
        <v>816</v>
      </c>
      <c r="BJ27">
        <f t="shared" si="0"/>
        <v>4.3726303060683724</v>
      </c>
      <c r="BK27" s="10">
        <f t="shared" si="1"/>
        <v>1.1630847029077119E-2</v>
      </c>
      <c r="BL27">
        <f t="shared" si="2"/>
        <v>317</v>
      </c>
      <c r="BM27">
        <f t="shared" si="3"/>
        <v>0</v>
      </c>
      <c r="BQ27">
        <v>582</v>
      </c>
      <c r="BR27">
        <v>4.3726303060683724</v>
      </c>
      <c r="BS27">
        <v>317</v>
      </c>
      <c r="BT27">
        <v>-71.157013000000006</v>
      </c>
      <c r="BU27">
        <v>14.086107999999999</v>
      </c>
      <c r="BV27">
        <v>6.6099825000000001</v>
      </c>
    </row>
    <row r="28" spans="1:74" x14ac:dyDescent="0.2">
      <c r="A28" t="s">
        <v>110</v>
      </c>
      <c r="B28">
        <v>4380</v>
      </c>
      <c r="C28">
        <v>42.313907999999998</v>
      </c>
      <c r="D28">
        <v>-71.111664000000005</v>
      </c>
      <c r="E28">
        <v>247.05</v>
      </c>
      <c r="F28">
        <v>2945</v>
      </c>
      <c r="G28">
        <v>24.310866999999998</v>
      </c>
      <c r="H28">
        <v>1204</v>
      </c>
      <c r="I28">
        <v>10</v>
      </c>
      <c r="J28" t="s">
        <v>111</v>
      </c>
      <c r="K28" t="s">
        <v>69</v>
      </c>
      <c r="L28">
        <v>0.37870196</v>
      </c>
      <c r="M28">
        <v>0</v>
      </c>
      <c r="N28">
        <v>4471</v>
      </c>
      <c r="O28">
        <v>33</v>
      </c>
      <c r="P28">
        <v>29.5</v>
      </c>
      <c r="Q28">
        <v>3.6</v>
      </c>
      <c r="R28">
        <v>24</v>
      </c>
      <c r="S28">
        <v>7.2</v>
      </c>
      <c r="T28">
        <v>4.8</v>
      </c>
      <c r="U28">
        <v>0.6</v>
      </c>
      <c r="V28">
        <v>30.5</v>
      </c>
      <c r="W28">
        <v>3.5</v>
      </c>
      <c r="X28">
        <v>4.7</v>
      </c>
      <c r="Y28">
        <v>12.4</v>
      </c>
      <c r="Z28">
        <v>14.4</v>
      </c>
      <c r="AA28">
        <v>11.9</v>
      </c>
      <c r="AB28">
        <v>24.1</v>
      </c>
      <c r="AC28">
        <v>18</v>
      </c>
      <c r="AD28">
        <v>4.2</v>
      </c>
      <c r="AE28">
        <v>6.9</v>
      </c>
      <c r="AF28">
        <v>28.9</v>
      </c>
      <c r="AG28">
        <v>6930</v>
      </c>
      <c r="AH28">
        <v>535</v>
      </c>
      <c r="AI28">
        <v>302</v>
      </c>
      <c r="AJ28">
        <v>54</v>
      </c>
      <c r="AK28">
        <v>193</v>
      </c>
      <c r="AL28">
        <v>606</v>
      </c>
      <c r="AM28">
        <v>383</v>
      </c>
      <c r="AN28">
        <v>895</v>
      </c>
      <c r="AO28">
        <v>1014</v>
      </c>
      <c r="AP28">
        <v>547</v>
      </c>
      <c r="AQ28">
        <v>385</v>
      </c>
      <c r="AR28">
        <v>270</v>
      </c>
      <c r="AS28">
        <v>511</v>
      </c>
      <c r="AT28">
        <v>429</v>
      </c>
      <c r="AU28">
        <v>346</v>
      </c>
      <c r="AV28">
        <v>241</v>
      </c>
      <c r="AW28">
        <v>114</v>
      </c>
      <c r="AX28">
        <v>18</v>
      </c>
      <c r="AY28">
        <v>87</v>
      </c>
      <c r="AZ28">
        <v>37.799999999999997</v>
      </c>
      <c r="BA28">
        <v>70.400000000000006</v>
      </c>
      <c r="BB28">
        <v>3.689676</v>
      </c>
      <c r="BC28">
        <v>1.6840497000000001</v>
      </c>
      <c r="BD28">
        <v>1</v>
      </c>
      <c r="BE28">
        <v>0</v>
      </c>
      <c r="BF28">
        <v>0</v>
      </c>
      <c r="BG28">
        <v>3</v>
      </c>
      <c r="BH28">
        <v>0</v>
      </c>
      <c r="BI28">
        <v>4834</v>
      </c>
      <c r="BJ28">
        <f t="shared" si="0"/>
        <v>2.1735556362691022</v>
      </c>
      <c r="BK28" s="10">
        <f t="shared" si="1"/>
        <v>6.8217401028852608E-3</v>
      </c>
      <c r="BL28">
        <f t="shared" si="2"/>
        <v>799</v>
      </c>
      <c r="BM28">
        <f t="shared" si="3"/>
        <v>0</v>
      </c>
      <c r="BQ28">
        <v>4380</v>
      </c>
      <c r="BR28">
        <v>2.1735556362691022</v>
      </c>
      <c r="BS28">
        <v>799</v>
      </c>
      <c r="BT28">
        <v>-71.111664000000005</v>
      </c>
      <c r="BU28">
        <v>24.310866999999998</v>
      </c>
      <c r="BV28">
        <v>3.689676</v>
      </c>
    </row>
    <row r="29" spans="1:74" x14ac:dyDescent="0.2">
      <c r="A29" t="s">
        <v>112</v>
      </c>
      <c r="B29">
        <v>936</v>
      </c>
      <c r="C29">
        <v>42.287331000000002</v>
      </c>
      <c r="D29">
        <v>-71.157013000000006</v>
      </c>
      <c r="E29">
        <v>334.23000999999999</v>
      </c>
      <c r="F29">
        <v>1995</v>
      </c>
      <c r="G29">
        <v>14.086107999999999</v>
      </c>
      <c r="H29">
        <v>1302</v>
      </c>
      <c r="I29">
        <v>10</v>
      </c>
      <c r="J29" t="s">
        <v>68</v>
      </c>
      <c r="K29" t="s">
        <v>69</v>
      </c>
      <c r="L29">
        <v>2.2442536</v>
      </c>
      <c r="M29">
        <v>0</v>
      </c>
      <c r="N29">
        <v>2373</v>
      </c>
      <c r="O29">
        <v>61.2</v>
      </c>
      <c r="P29">
        <v>55.1</v>
      </c>
      <c r="Q29">
        <v>6.1</v>
      </c>
      <c r="R29">
        <v>10.1</v>
      </c>
      <c r="S29">
        <v>0.1</v>
      </c>
      <c r="T29">
        <v>0</v>
      </c>
      <c r="U29">
        <v>1.1000000000000001</v>
      </c>
      <c r="V29">
        <v>27.6</v>
      </c>
      <c r="W29">
        <v>4.5999999999999996</v>
      </c>
      <c r="X29">
        <v>10.5</v>
      </c>
      <c r="Y29">
        <v>5.0999999999999996</v>
      </c>
      <c r="Z29">
        <v>15</v>
      </c>
      <c r="AA29">
        <v>13.8</v>
      </c>
      <c r="AB29">
        <v>20.399999999999999</v>
      </c>
      <c r="AC29">
        <v>10.1</v>
      </c>
      <c r="AD29">
        <v>12.8</v>
      </c>
      <c r="AE29">
        <v>7.7</v>
      </c>
      <c r="AF29">
        <v>30</v>
      </c>
      <c r="AG29">
        <v>4516</v>
      </c>
      <c r="AH29">
        <v>278</v>
      </c>
      <c r="AI29">
        <v>250</v>
      </c>
      <c r="AJ29">
        <v>300</v>
      </c>
      <c r="AK29">
        <v>164</v>
      </c>
      <c r="AL29">
        <v>153</v>
      </c>
      <c r="AM29">
        <v>138</v>
      </c>
      <c r="AN29">
        <v>316</v>
      </c>
      <c r="AO29">
        <v>455</v>
      </c>
      <c r="AP29">
        <v>359</v>
      </c>
      <c r="AQ29">
        <v>281</v>
      </c>
      <c r="AR29">
        <v>274</v>
      </c>
      <c r="AS29">
        <v>371</v>
      </c>
      <c r="AT29">
        <v>345</v>
      </c>
      <c r="AU29">
        <v>204</v>
      </c>
      <c r="AV29">
        <v>319</v>
      </c>
      <c r="AW29">
        <v>221</v>
      </c>
      <c r="AX29">
        <v>39</v>
      </c>
      <c r="AY29">
        <v>49</v>
      </c>
      <c r="AZ29">
        <v>42.8</v>
      </c>
      <c r="BA29">
        <v>91.1</v>
      </c>
      <c r="BB29">
        <v>6.6099825000000001</v>
      </c>
      <c r="BC29">
        <v>4.3720898999999998</v>
      </c>
      <c r="BD29">
        <v>1</v>
      </c>
      <c r="BE29">
        <v>0</v>
      </c>
      <c r="BF29">
        <v>0</v>
      </c>
      <c r="BG29">
        <v>2</v>
      </c>
      <c r="BH29">
        <v>0</v>
      </c>
      <c r="BI29">
        <v>491</v>
      </c>
      <c r="BJ29">
        <f t="shared" si="0"/>
        <v>4.3726303060683724</v>
      </c>
      <c r="BK29" s="10">
        <f t="shared" si="1"/>
        <v>1.1630847029077119E-2</v>
      </c>
      <c r="BL29">
        <f t="shared" si="2"/>
        <v>317</v>
      </c>
      <c r="BM29">
        <f t="shared" si="3"/>
        <v>0</v>
      </c>
      <c r="BQ29">
        <v>936</v>
      </c>
      <c r="BR29">
        <v>4.3726303060683724</v>
      </c>
      <c r="BS29">
        <v>317</v>
      </c>
      <c r="BT29">
        <v>-71.157013000000006</v>
      </c>
      <c r="BU29">
        <v>14.086107999999999</v>
      </c>
      <c r="BV29">
        <v>6.6099825000000001</v>
      </c>
    </row>
    <row r="30" spans="1:74" x14ac:dyDescent="0.2">
      <c r="A30" t="s">
        <v>113</v>
      </c>
      <c r="B30">
        <v>511</v>
      </c>
      <c r="C30">
        <v>42.355732000000003</v>
      </c>
      <c r="D30">
        <v>-71.184417999999994</v>
      </c>
      <c r="E30">
        <v>424.45999</v>
      </c>
      <c r="F30">
        <v>2226</v>
      </c>
      <c r="G30">
        <v>12.045894000000001</v>
      </c>
      <c r="H30">
        <v>3731</v>
      </c>
      <c r="I30">
        <v>127</v>
      </c>
      <c r="J30" t="s">
        <v>79</v>
      </c>
      <c r="K30" t="s">
        <v>66</v>
      </c>
      <c r="L30">
        <v>1.4494828</v>
      </c>
      <c r="M30">
        <v>0</v>
      </c>
      <c r="N30">
        <v>3225</v>
      </c>
      <c r="O30">
        <v>53.6</v>
      </c>
      <c r="P30">
        <v>47.5</v>
      </c>
      <c r="Q30">
        <v>6.1</v>
      </c>
      <c r="R30">
        <v>19</v>
      </c>
      <c r="S30">
        <v>3.6</v>
      </c>
      <c r="T30">
        <v>0.6</v>
      </c>
      <c r="U30">
        <v>0.7</v>
      </c>
      <c r="V30">
        <v>22.4</v>
      </c>
      <c r="W30">
        <v>16</v>
      </c>
      <c r="X30">
        <v>8.8000000000000007</v>
      </c>
      <c r="Y30">
        <v>10.5</v>
      </c>
      <c r="Z30">
        <v>13.9</v>
      </c>
      <c r="AA30">
        <v>9</v>
      </c>
      <c r="AB30">
        <v>11.4</v>
      </c>
      <c r="AC30">
        <v>9.8000000000000007</v>
      </c>
      <c r="AD30">
        <v>8</v>
      </c>
      <c r="AE30">
        <v>12.6</v>
      </c>
      <c r="AF30">
        <v>28.8</v>
      </c>
      <c r="AG30">
        <v>5323</v>
      </c>
      <c r="AH30">
        <v>395</v>
      </c>
      <c r="AI30">
        <v>185</v>
      </c>
      <c r="AJ30">
        <v>171</v>
      </c>
      <c r="AK30">
        <v>262</v>
      </c>
      <c r="AL30">
        <v>175</v>
      </c>
      <c r="AM30">
        <v>619</v>
      </c>
      <c r="AN30">
        <v>727</v>
      </c>
      <c r="AO30">
        <v>358</v>
      </c>
      <c r="AP30">
        <v>595</v>
      </c>
      <c r="AQ30">
        <v>302</v>
      </c>
      <c r="AR30">
        <v>300</v>
      </c>
      <c r="AS30">
        <v>217</v>
      </c>
      <c r="AT30">
        <v>250</v>
      </c>
      <c r="AU30">
        <v>168</v>
      </c>
      <c r="AV30">
        <v>273</v>
      </c>
      <c r="AW30">
        <v>90</v>
      </c>
      <c r="AX30">
        <v>150</v>
      </c>
      <c r="AY30">
        <v>86</v>
      </c>
      <c r="AZ30">
        <v>36.9</v>
      </c>
      <c r="BA30">
        <v>89.3</v>
      </c>
      <c r="BB30">
        <v>6.0622562999999996</v>
      </c>
      <c r="BC30">
        <v>4.2158170000000004</v>
      </c>
      <c r="BD30">
        <v>0</v>
      </c>
      <c r="BE30">
        <v>1</v>
      </c>
      <c r="BF30">
        <v>1</v>
      </c>
      <c r="BG30">
        <v>1</v>
      </c>
      <c r="BH30">
        <v>805</v>
      </c>
      <c r="BI30">
        <v>805</v>
      </c>
      <c r="BJ30">
        <f t="shared" si="0"/>
        <v>3.4656248581968256</v>
      </c>
      <c r="BK30" s="10">
        <f t="shared" si="1"/>
        <v>6.945736434108527E-3</v>
      </c>
      <c r="BL30">
        <f t="shared" si="2"/>
        <v>437</v>
      </c>
      <c r="BM30">
        <f t="shared" si="3"/>
        <v>1</v>
      </c>
      <c r="BQ30">
        <v>511</v>
      </c>
      <c r="BR30">
        <v>3.4656248581968256</v>
      </c>
      <c r="BS30">
        <v>437</v>
      </c>
      <c r="BT30">
        <v>-71.184417999999994</v>
      </c>
      <c r="BU30">
        <v>12.045894000000001</v>
      </c>
      <c r="BV30">
        <v>6.0622562999999996</v>
      </c>
    </row>
    <row r="31" spans="1:74" x14ac:dyDescent="0.2">
      <c r="A31" t="s">
        <v>114</v>
      </c>
      <c r="B31">
        <v>2690</v>
      </c>
      <c r="C31">
        <v>42.343848999999999</v>
      </c>
      <c r="D31">
        <v>-71.149292000000003</v>
      </c>
      <c r="E31">
        <v>106.51</v>
      </c>
      <c r="F31">
        <v>3054</v>
      </c>
      <c r="G31">
        <v>54.952587000000001</v>
      </c>
      <c r="H31">
        <v>4.01</v>
      </c>
      <c r="I31">
        <v>10</v>
      </c>
      <c r="J31" t="s">
        <v>98</v>
      </c>
      <c r="K31" t="s">
        <v>66</v>
      </c>
      <c r="L31">
        <v>0.24158172</v>
      </c>
      <c r="M31">
        <v>1</v>
      </c>
      <c r="N31">
        <v>3098</v>
      </c>
      <c r="O31">
        <v>36.1</v>
      </c>
      <c r="P31">
        <v>26.4</v>
      </c>
      <c r="Q31">
        <v>9.6999999999999993</v>
      </c>
      <c r="R31">
        <v>39.299999999999997</v>
      </c>
      <c r="S31">
        <v>4.9000000000000004</v>
      </c>
      <c r="T31">
        <v>0</v>
      </c>
      <c r="U31">
        <v>0</v>
      </c>
      <c r="V31">
        <v>19.8</v>
      </c>
      <c r="W31">
        <v>1.5</v>
      </c>
      <c r="X31">
        <v>16</v>
      </c>
      <c r="Y31">
        <v>6.5</v>
      </c>
      <c r="Z31">
        <v>5.0999999999999996</v>
      </c>
      <c r="AA31">
        <v>11.1</v>
      </c>
      <c r="AB31">
        <v>14.3</v>
      </c>
      <c r="AC31">
        <v>11.5</v>
      </c>
      <c r="AD31">
        <v>15.6</v>
      </c>
      <c r="AE31">
        <v>18.3</v>
      </c>
      <c r="AF31">
        <v>34</v>
      </c>
      <c r="AG31">
        <v>4702</v>
      </c>
      <c r="AH31">
        <v>68</v>
      </c>
      <c r="AI31">
        <v>33</v>
      </c>
      <c r="AJ31">
        <v>20</v>
      </c>
      <c r="AK31">
        <v>0</v>
      </c>
      <c r="AL31">
        <v>458</v>
      </c>
      <c r="AM31">
        <v>1558</v>
      </c>
      <c r="AN31">
        <v>654</v>
      </c>
      <c r="AO31">
        <v>97</v>
      </c>
      <c r="AP31">
        <v>60</v>
      </c>
      <c r="AQ31">
        <v>106</v>
      </c>
      <c r="AR31">
        <v>0</v>
      </c>
      <c r="AS31">
        <v>168</v>
      </c>
      <c r="AT31">
        <v>201</v>
      </c>
      <c r="AU31">
        <v>308</v>
      </c>
      <c r="AV31">
        <v>369</v>
      </c>
      <c r="AW31">
        <v>0</v>
      </c>
      <c r="AX31">
        <v>196</v>
      </c>
      <c r="AY31">
        <v>406</v>
      </c>
      <c r="AZ31">
        <v>31.1</v>
      </c>
      <c r="BA31">
        <v>70.3</v>
      </c>
      <c r="BB31">
        <v>4.3391146999999997</v>
      </c>
      <c r="BC31">
        <v>2.2751391000000001</v>
      </c>
      <c r="BD31">
        <v>1</v>
      </c>
      <c r="BE31">
        <v>0</v>
      </c>
      <c r="BF31">
        <v>1</v>
      </c>
      <c r="BG31">
        <v>5</v>
      </c>
      <c r="BH31">
        <v>293</v>
      </c>
      <c r="BI31">
        <v>4037.2</v>
      </c>
      <c r="BJ31">
        <f t="shared" si="0"/>
        <v>1.9222780795397711</v>
      </c>
      <c r="BK31" s="10">
        <f t="shared" si="1"/>
        <v>6.3912201420271144E-3</v>
      </c>
      <c r="BL31">
        <f t="shared" si="2"/>
        <v>458</v>
      </c>
      <c r="BM31">
        <f t="shared" si="3"/>
        <v>1</v>
      </c>
      <c r="BQ31">
        <v>2690</v>
      </c>
      <c r="BR31">
        <v>1.9222780795397711</v>
      </c>
      <c r="BS31">
        <v>458</v>
      </c>
      <c r="BT31">
        <v>-71.149292000000003</v>
      </c>
      <c r="BU31">
        <v>54.952587000000001</v>
      </c>
      <c r="BV31">
        <v>4.3391146999999997</v>
      </c>
    </row>
    <row r="32" spans="1:74" x14ac:dyDescent="0.2">
      <c r="A32" t="s">
        <v>115</v>
      </c>
      <c r="B32">
        <v>1306</v>
      </c>
      <c r="C32">
        <v>42.300612999999998</v>
      </c>
      <c r="D32">
        <v>-71.094611999999998</v>
      </c>
      <c r="E32">
        <v>521.07001000000002</v>
      </c>
      <c r="F32">
        <v>8</v>
      </c>
      <c r="G32">
        <v>0.21686146000000001</v>
      </c>
      <c r="H32">
        <v>9803</v>
      </c>
      <c r="I32">
        <v>10</v>
      </c>
      <c r="J32" t="s">
        <v>68</v>
      </c>
      <c r="K32" t="s">
        <v>69</v>
      </c>
      <c r="L32">
        <v>1.1763036</v>
      </c>
      <c r="M32">
        <v>0</v>
      </c>
      <c r="N32">
        <v>70</v>
      </c>
      <c r="O32">
        <v>28.6</v>
      </c>
      <c r="P32">
        <v>28.6</v>
      </c>
      <c r="Q32">
        <v>0</v>
      </c>
      <c r="R32">
        <v>71.400000000000006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28.6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71.400000000000006</v>
      </c>
      <c r="AF32">
        <v>90</v>
      </c>
      <c r="AG32">
        <v>253</v>
      </c>
      <c r="AH32">
        <v>0</v>
      </c>
      <c r="AI32">
        <v>0</v>
      </c>
      <c r="AJ32">
        <v>0</v>
      </c>
      <c r="AK32">
        <v>12</v>
      </c>
      <c r="AL32">
        <v>11</v>
      </c>
      <c r="AM32">
        <v>2</v>
      </c>
      <c r="AN32">
        <v>12</v>
      </c>
      <c r="AO32">
        <v>23</v>
      </c>
      <c r="AP32">
        <v>20</v>
      </c>
      <c r="AQ32">
        <v>45</v>
      </c>
      <c r="AR32">
        <v>12</v>
      </c>
      <c r="AS32">
        <v>83</v>
      </c>
      <c r="AT32">
        <v>5</v>
      </c>
      <c r="AU32">
        <v>28</v>
      </c>
      <c r="AV32">
        <v>0</v>
      </c>
      <c r="AW32">
        <v>0</v>
      </c>
      <c r="AX32">
        <v>0</v>
      </c>
      <c r="AY32">
        <v>0</v>
      </c>
      <c r="AZ32">
        <v>54.1</v>
      </c>
      <c r="BA32">
        <v>256.3</v>
      </c>
      <c r="BB32">
        <v>4.0442090000000004</v>
      </c>
      <c r="BC32">
        <v>2.6322247999999999</v>
      </c>
      <c r="BD32">
        <v>1</v>
      </c>
      <c r="BE32">
        <v>0</v>
      </c>
      <c r="BF32">
        <v>0</v>
      </c>
      <c r="BG32">
        <v>2</v>
      </c>
      <c r="BH32">
        <v>0</v>
      </c>
      <c r="BI32">
        <v>519</v>
      </c>
      <c r="BJ32">
        <f t="shared" si="0"/>
        <v>3.0110257711693449</v>
      </c>
      <c r="BK32" s="10">
        <f t="shared" si="1"/>
        <v>0</v>
      </c>
      <c r="BL32">
        <f t="shared" si="2"/>
        <v>23</v>
      </c>
      <c r="BM32">
        <f t="shared" si="3"/>
        <v>0</v>
      </c>
      <c r="BQ32">
        <v>1306</v>
      </c>
      <c r="BR32">
        <v>3.0110257711693449</v>
      </c>
      <c r="BS32">
        <v>23</v>
      </c>
      <c r="BT32">
        <v>-71.094611999999998</v>
      </c>
      <c r="BU32">
        <v>0.21686146000000001</v>
      </c>
      <c r="BV32">
        <v>4.0442090000000004</v>
      </c>
    </row>
    <row r="33" spans="1:74" x14ac:dyDescent="0.2">
      <c r="A33" t="s">
        <v>116</v>
      </c>
      <c r="B33">
        <v>5270</v>
      </c>
      <c r="C33">
        <v>42.339641999999998</v>
      </c>
      <c r="D33">
        <v>-71.150085000000004</v>
      </c>
      <c r="E33">
        <v>34.580002</v>
      </c>
      <c r="F33">
        <v>1479</v>
      </c>
      <c r="G33">
        <v>69.924805000000006</v>
      </c>
      <c r="H33">
        <v>5.03</v>
      </c>
      <c r="I33">
        <v>10</v>
      </c>
      <c r="J33" t="s">
        <v>117</v>
      </c>
      <c r="K33" t="s">
        <v>63</v>
      </c>
      <c r="L33">
        <v>0.10230038</v>
      </c>
      <c r="M33">
        <v>3</v>
      </c>
      <c r="N33">
        <v>1602</v>
      </c>
      <c r="O33">
        <v>26.2</v>
      </c>
      <c r="P33">
        <v>22.8</v>
      </c>
      <c r="Q33">
        <v>3.4</v>
      </c>
      <c r="R33">
        <v>46.4</v>
      </c>
      <c r="S33">
        <v>5.4</v>
      </c>
      <c r="T33">
        <v>1.1000000000000001</v>
      </c>
      <c r="U33">
        <v>2.1</v>
      </c>
      <c r="V33">
        <v>18.7</v>
      </c>
      <c r="W33">
        <v>3.1</v>
      </c>
      <c r="X33">
        <v>4.8</v>
      </c>
      <c r="Y33">
        <v>8.8000000000000007</v>
      </c>
      <c r="Z33">
        <v>10.8</v>
      </c>
      <c r="AA33">
        <v>5.4</v>
      </c>
      <c r="AB33">
        <v>20.5</v>
      </c>
      <c r="AC33">
        <v>12.4</v>
      </c>
      <c r="AD33">
        <v>14.6</v>
      </c>
      <c r="AE33">
        <v>19.7</v>
      </c>
      <c r="AF33">
        <v>35.5</v>
      </c>
      <c r="AG33">
        <v>2062</v>
      </c>
      <c r="AH33">
        <v>27</v>
      </c>
      <c r="AI33">
        <v>0</v>
      </c>
      <c r="AJ33">
        <v>0</v>
      </c>
      <c r="AK33">
        <v>18</v>
      </c>
      <c r="AL33">
        <v>330</v>
      </c>
      <c r="AM33">
        <v>570</v>
      </c>
      <c r="AN33">
        <v>486</v>
      </c>
      <c r="AO33">
        <v>71</v>
      </c>
      <c r="AP33">
        <v>73</v>
      </c>
      <c r="AQ33">
        <v>66</v>
      </c>
      <c r="AR33">
        <v>48</v>
      </c>
      <c r="AS33">
        <v>171</v>
      </c>
      <c r="AT33">
        <v>42</v>
      </c>
      <c r="AU33">
        <v>47</v>
      </c>
      <c r="AV33">
        <v>16</v>
      </c>
      <c r="AW33">
        <v>26</v>
      </c>
      <c r="AX33">
        <v>0</v>
      </c>
      <c r="AY33">
        <v>71</v>
      </c>
      <c r="AZ33">
        <v>30.9</v>
      </c>
      <c r="BA33">
        <v>82</v>
      </c>
      <c r="BB33">
        <v>4.4399619000000001</v>
      </c>
      <c r="BC33">
        <v>2.2810073000000002</v>
      </c>
      <c r="BD33">
        <v>1</v>
      </c>
      <c r="BE33">
        <v>0</v>
      </c>
      <c r="BF33">
        <v>0</v>
      </c>
      <c r="BG33">
        <v>3</v>
      </c>
      <c r="BH33">
        <v>0</v>
      </c>
      <c r="BI33">
        <v>2216.6669999999999</v>
      </c>
      <c r="BJ33">
        <f t="shared" si="0"/>
        <v>2.0192138447134886</v>
      </c>
      <c r="BK33" s="10">
        <f t="shared" si="1"/>
        <v>1.16729088639201E-2</v>
      </c>
      <c r="BL33">
        <f t="shared" si="2"/>
        <v>348</v>
      </c>
      <c r="BM33">
        <f t="shared" si="3"/>
        <v>1</v>
      </c>
      <c r="BQ33">
        <v>5270</v>
      </c>
      <c r="BR33">
        <v>2.0192138447134886</v>
      </c>
      <c r="BS33">
        <v>348</v>
      </c>
      <c r="BT33">
        <v>-71.150085000000004</v>
      </c>
      <c r="BU33">
        <v>69.924805000000006</v>
      </c>
      <c r="BV33">
        <v>4.4399619000000001</v>
      </c>
    </row>
    <row r="34" spans="1:74" x14ac:dyDescent="0.2">
      <c r="A34" t="s">
        <v>118</v>
      </c>
      <c r="B34">
        <v>10198</v>
      </c>
      <c r="C34">
        <v>42.339419999999997</v>
      </c>
      <c r="D34">
        <v>-71.101821999999999</v>
      </c>
      <c r="E34">
        <v>125.33</v>
      </c>
      <c r="F34">
        <v>366</v>
      </c>
      <c r="G34">
        <v>41.378760999999997</v>
      </c>
      <c r="H34">
        <v>103</v>
      </c>
      <c r="I34">
        <v>10</v>
      </c>
      <c r="J34" t="s">
        <v>119</v>
      </c>
      <c r="K34" t="s">
        <v>75</v>
      </c>
      <c r="L34">
        <v>0.29742151</v>
      </c>
      <c r="M34">
        <v>0</v>
      </c>
      <c r="N34">
        <v>2288</v>
      </c>
      <c r="O34">
        <v>10.5</v>
      </c>
      <c r="P34">
        <v>8.8000000000000007</v>
      </c>
      <c r="Q34">
        <v>1.7</v>
      </c>
      <c r="R34">
        <v>13.5</v>
      </c>
      <c r="S34">
        <v>63.4</v>
      </c>
      <c r="T34">
        <v>1.3</v>
      </c>
      <c r="U34">
        <v>0.7</v>
      </c>
      <c r="V34">
        <v>10.5</v>
      </c>
      <c r="W34">
        <v>38.799999999999997</v>
      </c>
      <c r="X34">
        <v>16.5</v>
      </c>
      <c r="Y34">
        <v>13.5</v>
      </c>
      <c r="Z34">
        <v>11.5</v>
      </c>
      <c r="AA34">
        <v>3.3</v>
      </c>
      <c r="AB34">
        <v>8.4</v>
      </c>
      <c r="AC34">
        <v>3</v>
      </c>
      <c r="AD34">
        <v>1.7</v>
      </c>
      <c r="AE34">
        <v>3.5</v>
      </c>
      <c r="AF34">
        <v>16.100000000000001</v>
      </c>
      <c r="AG34">
        <v>5099</v>
      </c>
      <c r="AH34">
        <v>100</v>
      </c>
      <c r="AI34">
        <v>0</v>
      </c>
      <c r="AJ34">
        <v>6</v>
      </c>
      <c r="AK34">
        <v>2484</v>
      </c>
      <c r="AL34">
        <v>2081</v>
      </c>
      <c r="AM34">
        <v>159</v>
      </c>
      <c r="AN34">
        <v>101</v>
      </c>
      <c r="AO34">
        <v>52</v>
      </c>
      <c r="AP34">
        <v>10</v>
      </c>
      <c r="AQ34">
        <v>11</v>
      </c>
      <c r="AR34">
        <v>16</v>
      </c>
      <c r="AS34">
        <v>10</v>
      </c>
      <c r="AT34">
        <v>33</v>
      </c>
      <c r="AU34">
        <v>5</v>
      </c>
      <c r="AV34">
        <v>18</v>
      </c>
      <c r="AW34">
        <v>0</v>
      </c>
      <c r="AX34">
        <v>0</v>
      </c>
      <c r="AY34">
        <v>13</v>
      </c>
      <c r="AZ34">
        <v>20</v>
      </c>
      <c r="BA34">
        <v>62.1</v>
      </c>
      <c r="BB34">
        <v>2.1394180999999999</v>
      </c>
      <c r="BC34">
        <v>0.21662097</v>
      </c>
      <c r="BD34">
        <v>1</v>
      </c>
      <c r="BE34">
        <v>0</v>
      </c>
      <c r="BF34">
        <v>2</v>
      </c>
      <c r="BG34">
        <v>18</v>
      </c>
      <c r="BH34">
        <v>8397.5</v>
      </c>
      <c r="BI34">
        <v>11237.11</v>
      </c>
      <c r="BJ34">
        <f t="shared" si="0"/>
        <v>0.66705080896030267</v>
      </c>
      <c r="BK34" s="10">
        <f t="shared" si="1"/>
        <v>4.589160839160839E-3</v>
      </c>
      <c r="BL34">
        <f t="shared" si="2"/>
        <v>4565</v>
      </c>
      <c r="BM34">
        <f t="shared" si="3"/>
        <v>1</v>
      </c>
      <c r="BQ34">
        <v>10198</v>
      </c>
      <c r="BR34">
        <v>0.66705080896030267</v>
      </c>
      <c r="BS34">
        <v>4565</v>
      </c>
      <c r="BT34">
        <v>-71.101821999999999</v>
      </c>
      <c r="BU34">
        <v>41.378760999999997</v>
      </c>
      <c r="BV34">
        <v>2.1394180999999999</v>
      </c>
    </row>
    <row r="35" spans="1:74" x14ac:dyDescent="0.2">
      <c r="A35" t="s">
        <v>120</v>
      </c>
      <c r="B35">
        <v>11750</v>
      </c>
      <c r="C35">
        <v>42.349007</v>
      </c>
      <c r="D35">
        <v>-71.119804000000002</v>
      </c>
      <c r="E35">
        <v>77.360000999999997</v>
      </c>
      <c r="F35">
        <v>1476</v>
      </c>
      <c r="G35">
        <v>46.858840999999998</v>
      </c>
      <c r="H35">
        <v>4002.02</v>
      </c>
      <c r="I35">
        <v>4</v>
      </c>
      <c r="J35" t="s">
        <v>121</v>
      </c>
      <c r="K35" t="s">
        <v>66</v>
      </c>
      <c r="L35">
        <v>6.5180290000000002E-2</v>
      </c>
      <c r="M35">
        <v>2</v>
      </c>
      <c r="N35">
        <v>1667</v>
      </c>
      <c r="O35">
        <v>26.6</v>
      </c>
      <c r="P35">
        <v>22.4</v>
      </c>
      <c r="Q35">
        <v>4.0999999999999996</v>
      </c>
      <c r="R35">
        <v>31</v>
      </c>
      <c r="S35">
        <v>11.6</v>
      </c>
      <c r="T35">
        <v>11.7</v>
      </c>
      <c r="U35">
        <v>0</v>
      </c>
      <c r="V35">
        <v>19.100000000000001</v>
      </c>
      <c r="W35">
        <v>4.4999999999999998E-2</v>
      </c>
      <c r="X35">
        <v>0.154</v>
      </c>
      <c r="Y35">
        <v>9.1999999999999998E-2</v>
      </c>
      <c r="Z35">
        <v>9.0999999999999998E-2</v>
      </c>
      <c r="AA35">
        <v>0.10199999999999999</v>
      </c>
      <c r="AB35">
        <v>0.17899999999999999</v>
      </c>
      <c r="AC35">
        <v>0.19400000000000001</v>
      </c>
      <c r="AD35">
        <v>0.121</v>
      </c>
      <c r="AE35">
        <v>2.1999999999999999E-2</v>
      </c>
      <c r="AF35">
        <v>26.8</v>
      </c>
      <c r="AG35">
        <v>3567</v>
      </c>
      <c r="AH35">
        <v>264</v>
      </c>
      <c r="AI35">
        <v>96</v>
      </c>
      <c r="AJ35">
        <v>269</v>
      </c>
      <c r="AK35">
        <v>190</v>
      </c>
      <c r="AL35">
        <v>998</v>
      </c>
      <c r="AM35">
        <v>314</v>
      </c>
      <c r="AN35">
        <v>118</v>
      </c>
      <c r="AO35">
        <v>195</v>
      </c>
      <c r="AP35">
        <v>72</v>
      </c>
      <c r="AQ35">
        <v>274</v>
      </c>
      <c r="AR35">
        <v>189</v>
      </c>
      <c r="AS35">
        <v>125</v>
      </c>
      <c r="AT35">
        <v>98</v>
      </c>
      <c r="AU35">
        <v>72</v>
      </c>
      <c r="AV35">
        <v>238</v>
      </c>
      <c r="AW35">
        <v>7</v>
      </c>
      <c r="AX35">
        <v>34</v>
      </c>
      <c r="AY35">
        <v>14</v>
      </c>
      <c r="AZ35">
        <v>24.6</v>
      </c>
      <c r="BA35">
        <v>84.3</v>
      </c>
      <c r="BB35">
        <v>2.7948605999999998</v>
      </c>
      <c r="BC35">
        <v>1.062425</v>
      </c>
      <c r="BD35">
        <v>0</v>
      </c>
      <c r="BE35">
        <v>0</v>
      </c>
      <c r="BF35">
        <v>4</v>
      </c>
      <c r="BG35">
        <v>8</v>
      </c>
      <c r="BH35">
        <v>15075</v>
      </c>
      <c r="BI35">
        <v>11586</v>
      </c>
      <c r="BJ35">
        <f t="shared" si="0"/>
        <v>0.58010130277966532</v>
      </c>
      <c r="BK35" s="10">
        <f t="shared" si="1"/>
        <v>1.145770845830834E-2</v>
      </c>
      <c r="BL35">
        <f t="shared" si="2"/>
        <v>1188</v>
      </c>
      <c r="BM35">
        <f t="shared" si="3"/>
        <v>1</v>
      </c>
      <c r="BQ35">
        <v>11750</v>
      </c>
      <c r="BR35">
        <v>0.58010130277966532</v>
      </c>
      <c r="BS35">
        <v>1188</v>
      </c>
      <c r="BT35">
        <v>-71.119804000000002</v>
      </c>
      <c r="BU35">
        <v>46.858840999999998</v>
      </c>
      <c r="BV35">
        <v>2.7948605999999998</v>
      </c>
    </row>
    <row r="36" spans="1:74" x14ac:dyDescent="0.2">
      <c r="A36" t="s">
        <v>122</v>
      </c>
      <c r="B36">
        <v>34237</v>
      </c>
      <c r="C36">
        <v>42.352466999999997</v>
      </c>
      <c r="D36">
        <v>-71.116889999999998</v>
      </c>
      <c r="E36">
        <v>54.009998000000003</v>
      </c>
      <c r="F36">
        <v>40</v>
      </c>
      <c r="G36">
        <v>42.251434000000003</v>
      </c>
      <c r="H36">
        <v>8.07</v>
      </c>
      <c r="I36">
        <v>10</v>
      </c>
      <c r="J36" t="s">
        <v>121</v>
      </c>
      <c r="K36" t="s">
        <v>66</v>
      </c>
      <c r="L36">
        <v>4.9501219999999999E-2</v>
      </c>
      <c r="M36">
        <v>2</v>
      </c>
      <c r="N36">
        <v>1152</v>
      </c>
      <c r="O36">
        <v>14.7</v>
      </c>
      <c r="P36">
        <v>11.3</v>
      </c>
      <c r="Q36">
        <v>3.4</v>
      </c>
      <c r="R36">
        <v>6.6</v>
      </c>
      <c r="S36">
        <v>65.5</v>
      </c>
      <c r="T36">
        <v>0</v>
      </c>
      <c r="U36">
        <v>0</v>
      </c>
      <c r="V36">
        <v>13.3</v>
      </c>
      <c r="W36">
        <v>33.9</v>
      </c>
      <c r="X36">
        <v>31.6</v>
      </c>
      <c r="Y36">
        <v>16.100000000000001</v>
      </c>
      <c r="Z36">
        <v>8.1999999999999993</v>
      </c>
      <c r="AA36">
        <v>1.4</v>
      </c>
      <c r="AB36">
        <v>3.6</v>
      </c>
      <c r="AC36">
        <v>1.3</v>
      </c>
      <c r="AD36">
        <v>3.8</v>
      </c>
      <c r="AE36">
        <v>0</v>
      </c>
      <c r="AF36">
        <v>12.2</v>
      </c>
      <c r="AG36">
        <v>3092</v>
      </c>
      <c r="AH36">
        <v>0</v>
      </c>
      <c r="AI36">
        <v>0</v>
      </c>
      <c r="AJ36">
        <v>0</v>
      </c>
      <c r="AK36">
        <v>1809</v>
      </c>
      <c r="AL36">
        <v>1250</v>
      </c>
      <c r="AM36">
        <v>33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19.8</v>
      </c>
      <c r="BA36">
        <v>70.400000000000006</v>
      </c>
      <c r="BB36">
        <v>2.6204021000000002</v>
      </c>
      <c r="BC36">
        <v>1.1657968999999999</v>
      </c>
      <c r="BD36">
        <v>1</v>
      </c>
      <c r="BE36">
        <v>0</v>
      </c>
      <c r="BF36">
        <v>4</v>
      </c>
      <c r="BG36">
        <v>6</v>
      </c>
      <c r="BH36">
        <v>9453.25</v>
      </c>
      <c r="BI36">
        <v>10854.17</v>
      </c>
      <c r="BJ36">
        <f t="shared" si="0"/>
        <v>0.47421982693532105</v>
      </c>
      <c r="BK36" s="10">
        <f t="shared" si="1"/>
        <v>1.154513888888889E-2</v>
      </c>
      <c r="BL36">
        <f t="shared" si="2"/>
        <v>3059</v>
      </c>
      <c r="BM36">
        <f t="shared" si="3"/>
        <v>1</v>
      </c>
      <c r="BQ36">
        <v>34237</v>
      </c>
      <c r="BR36">
        <v>0.47421982693532105</v>
      </c>
      <c r="BS36">
        <v>3059</v>
      </c>
      <c r="BT36">
        <v>-71.116889999999998</v>
      </c>
      <c r="BU36">
        <v>42.251434000000003</v>
      </c>
      <c r="BV36">
        <v>2.6204021000000002</v>
      </c>
    </row>
    <row r="37" spans="1:74" x14ac:dyDescent="0.2">
      <c r="A37" t="s">
        <v>123</v>
      </c>
      <c r="B37">
        <v>6325</v>
      </c>
      <c r="C37">
        <v>42.349850000000004</v>
      </c>
      <c r="D37">
        <v>-71.103499999999997</v>
      </c>
      <c r="E37">
        <v>71.190002000000007</v>
      </c>
      <c r="F37">
        <v>420</v>
      </c>
      <c r="G37">
        <v>65.978363000000002</v>
      </c>
      <c r="H37">
        <v>101.03</v>
      </c>
      <c r="I37">
        <v>10</v>
      </c>
      <c r="J37" t="s">
        <v>124</v>
      </c>
      <c r="K37" t="s">
        <v>66</v>
      </c>
      <c r="L37">
        <v>1.4275360000000001E-2</v>
      </c>
      <c r="M37">
        <v>3</v>
      </c>
      <c r="N37">
        <v>1374</v>
      </c>
      <c r="O37">
        <v>10.8</v>
      </c>
      <c r="P37">
        <v>9.3000000000000007</v>
      </c>
      <c r="Q37">
        <v>1.5</v>
      </c>
      <c r="R37">
        <v>14.3</v>
      </c>
      <c r="S37">
        <v>55</v>
      </c>
      <c r="T37">
        <v>0.4</v>
      </c>
      <c r="U37">
        <v>1.3</v>
      </c>
      <c r="V37">
        <v>18.2</v>
      </c>
      <c r="W37">
        <v>29.4</v>
      </c>
      <c r="X37">
        <v>21.4</v>
      </c>
      <c r="Y37">
        <v>17.7</v>
      </c>
      <c r="Z37">
        <v>12.5</v>
      </c>
      <c r="AA37">
        <v>0.8</v>
      </c>
      <c r="AB37">
        <v>7.1</v>
      </c>
      <c r="AC37">
        <v>4</v>
      </c>
      <c r="AD37">
        <v>3.8</v>
      </c>
      <c r="AE37">
        <v>3.2</v>
      </c>
      <c r="AF37">
        <v>16.5</v>
      </c>
      <c r="AG37">
        <v>3527</v>
      </c>
      <c r="AH37">
        <v>0</v>
      </c>
      <c r="AI37">
        <v>9</v>
      </c>
      <c r="AJ37">
        <v>0</v>
      </c>
      <c r="AK37">
        <v>1797</v>
      </c>
      <c r="AL37">
        <v>1259</v>
      </c>
      <c r="AM37">
        <v>206</v>
      </c>
      <c r="AN37">
        <v>28</v>
      </c>
      <c r="AO37">
        <v>144</v>
      </c>
      <c r="AP37">
        <v>24</v>
      </c>
      <c r="AQ37">
        <v>25</v>
      </c>
      <c r="AR37">
        <v>19</v>
      </c>
      <c r="AS37">
        <v>0</v>
      </c>
      <c r="AT37">
        <v>1</v>
      </c>
      <c r="AU37">
        <v>0</v>
      </c>
      <c r="AV37">
        <v>15</v>
      </c>
      <c r="AW37">
        <v>0</v>
      </c>
      <c r="AX37">
        <v>0</v>
      </c>
      <c r="AY37">
        <v>0</v>
      </c>
      <c r="AZ37">
        <v>20</v>
      </c>
      <c r="BA37">
        <v>85.8</v>
      </c>
      <c r="BB37">
        <v>1.9641867</v>
      </c>
      <c r="BC37">
        <v>0.83545535999999998</v>
      </c>
      <c r="BD37">
        <v>1</v>
      </c>
      <c r="BE37">
        <v>0</v>
      </c>
      <c r="BF37">
        <v>8</v>
      </c>
      <c r="BG37">
        <v>17</v>
      </c>
      <c r="BH37">
        <v>13208.75</v>
      </c>
      <c r="BI37">
        <v>15589.24</v>
      </c>
      <c r="BJ37">
        <f t="shared" si="0"/>
        <v>0.14661249552280328</v>
      </c>
      <c r="BK37" s="10">
        <f t="shared" si="1"/>
        <v>1.3245997088791848E-2</v>
      </c>
      <c r="BL37">
        <f t="shared" si="2"/>
        <v>3056</v>
      </c>
      <c r="BM37">
        <f t="shared" si="3"/>
        <v>1</v>
      </c>
      <c r="BQ37">
        <v>6325</v>
      </c>
      <c r="BR37">
        <v>0.14661249552280328</v>
      </c>
      <c r="BS37">
        <v>3056</v>
      </c>
      <c r="BT37">
        <v>-71.103499999999997</v>
      </c>
      <c r="BU37">
        <v>65.978363000000002</v>
      </c>
      <c r="BV37">
        <v>1.9641867</v>
      </c>
    </row>
    <row r="38" spans="1:74" x14ac:dyDescent="0.2">
      <c r="A38" t="s">
        <v>125</v>
      </c>
      <c r="B38">
        <v>5825</v>
      </c>
      <c r="C38">
        <v>42.339641999999998</v>
      </c>
      <c r="D38">
        <v>-71.150085000000004</v>
      </c>
      <c r="E38">
        <v>34.580002</v>
      </c>
      <c r="F38">
        <v>1479</v>
      </c>
      <c r="G38">
        <v>69.924805000000006</v>
      </c>
      <c r="H38">
        <v>5.03</v>
      </c>
      <c r="I38">
        <v>10</v>
      </c>
      <c r="J38" t="s">
        <v>98</v>
      </c>
      <c r="K38" t="s">
        <v>66</v>
      </c>
      <c r="L38">
        <v>7.0823960000000005E-2</v>
      </c>
      <c r="M38">
        <v>2</v>
      </c>
      <c r="N38">
        <v>1602</v>
      </c>
      <c r="O38">
        <v>26.2</v>
      </c>
      <c r="P38">
        <v>22.8</v>
      </c>
      <c r="Q38">
        <v>3.4</v>
      </c>
      <c r="R38">
        <v>46.4</v>
      </c>
      <c r="S38">
        <v>5.4</v>
      </c>
      <c r="T38">
        <v>1.1000000000000001</v>
      </c>
      <c r="U38">
        <v>2.1</v>
      </c>
      <c r="V38">
        <v>18.7</v>
      </c>
      <c r="W38">
        <v>3.1</v>
      </c>
      <c r="X38">
        <v>4.8</v>
      </c>
      <c r="Y38">
        <v>8.8000000000000007</v>
      </c>
      <c r="Z38">
        <v>10.8</v>
      </c>
      <c r="AA38">
        <v>5.4</v>
      </c>
      <c r="AB38">
        <v>20.5</v>
      </c>
      <c r="AC38">
        <v>12.4</v>
      </c>
      <c r="AD38">
        <v>14.6</v>
      </c>
      <c r="AE38">
        <v>19.7</v>
      </c>
      <c r="AF38">
        <v>35.5</v>
      </c>
      <c r="AG38">
        <v>2062</v>
      </c>
      <c r="AH38">
        <v>27</v>
      </c>
      <c r="AI38">
        <v>0</v>
      </c>
      <c r="AJ38">
        <v>0</v>
      </c>
      <c r="AK38">
        <v>18</v>
      </c>
      <c r="AL38">
        <v>330</v>
      </c>
      <c r="AM38">
        <v>570</v>
      </c>
      <c r="AN38">
        <v>486</v>
      </c>
      <c r="AO38">
        <v>71</v>
      </c>
      <c r="AP38">
        <v>73</v>
      </c>
      <c r="AQ38">
        <v>66</v>
      </c>
      <c r="AR38">
        <v>48</v>
      </c>
      <c r="AS38">
        <v>171</v>
      </c>
      <c r="AT38">
        <v>42</v>
      </c>
      <c r="AU38">
        <v>47</v>
      </c>
      <c r="AV38">
        <v>16</v>
      </c>
      <c r="AW38">
        <v>26</v>
      </c>
      <c r="AX38">
        <v>0</v>
      </c>
      <c r="AY38">
        <v>71</v>
      </c>
      <c r="AZ38">
        <v>30.9</v>
      </c>
      <c r="BA38">
        <v>82</v>
      </c>
      <c r="BB38">
        <v>4.4399619000000001</v>
      </c>
      <c r="BC38">
        <v>2.2810073000000002</v>
      </c>
      <c r="BD38">
        <v>1</v>
      </c>
      <c r="BE38">
        <v>0</v>
      </c>
      <c r="BF38">
        <v>1</v>
      </c>
      <c r="BG38">
        <v>4</v>
      </c>
      <c r="BH38">
        <v>663</v>
      </c>
      <c r="BI38">
        <v>2229</v>
      </c>
      <c r="BJ38">
        <f t="shared" si="0"/>
        <v>2.0192138447134886</v>
      </c>
      <c r="BK38" s="10">
        <f t="shared" si="1"/>
        <v>1.16729088639201E-2</v>
      </c>
      <c r="BL38">
        <f t="shared" si="2"/>
        <v>348</v>
      </c>
      <c r="BM38">
        <f t="shared" si="3"/>
        <v>1</v>
      </c>
      <c r="BQ38">
        <v>5825</v>
      </c>
      <c r="BR38">
        <v>2.0192138447134886</v>
      </c>
      <c r="BS38">
        <v>348</v>
      </c>
      <c r="BT38">
        <v>-71.150085000000004</v>
      </c>
      <c r="BU38">
        <v>69.924805000000006</v>
      </c>
      <c r="BV38">
        <v>4.4399619000000001</v>
      </c>
    </row>
    <row r="39" spans="1:74" x14ac:dyDescent="0.2">
      <c r="A39" t="s">
        <v>126</v>
      </c>
      <c r="B39">
        <v>2301</v>
      </c>
      <c r="C39">
        <v>42.343181999999999</v>
      </c>
      <c r="D39">
        <v>-71.141113000000004</v>
      </c>
      <c r="E39">
        <v>35.68</v>
      </c>
      <c r="F39">
        <v>1084</v>
      </c>
      <c r="G39">
        <v>61.547085000000003</v>
      </c>
      <c r="H39">
        <v>5.05</v>
      </c>
      <c r="I39">
        <v>10</v>
      </c>
      <c r="J39" t="s">
        <v>88</v>
      </c>
      <c r="K39" t="s">
        <v>66</v>
      </c>
      <c r="L39">
        <v>0.27303365000000002</v>
      </c>
      <c r="M39">
        <v>0</v>
      </c>
      <c r="N39">
        <v>1176</v>
      </c>
      <c r="O39">
        <v>33.1</v>
      </c>
      <c r="P39">
        <v>30.4</v>
      </c>
      <c r="Q39">
        <v>2.6</v>
      </c>
      <c r="R39">
        <v>44</v>
      </c>
      <c r="S39">
        <v>6</v>
      </c>
      <c r="T39">
        <v>0.8</v>
      </c>
      <c r="U39">
        <v>1.6</v>
      </c>
      <c r="V39">
        <v>14.5</v>
      </c>
      <c r="W39">
        <v>2.2999999999999998</v>
      </c>
      <c r="X39">
        <v>0</v>
      </c>
      <c r="Y39">
        <v>6.4</v>
      </c>
      <c r="Z39">
        <v>4.0999999999999996</v>
      </c>
      <c r="AA39">
        <v>0</v>
      </c>
      <c r="AB39">
        <v>24</v>
      </c>
      <c r="AC39">
        <v>17</v>
      </c>
      <c r="AD39">
        <v>20.9</v>
      </c>
      <c r="AE39">
        <v>25.4</v>
      </c>
      <c r="AF39">
        <v>42.5</v>
      </c>
      <c r="AG39">
        <v>1912</v>
      </c>
      <c r="AH39">
        <v>0</v>
      </c>
      <c r="AI39">
        <v>0</v>
      </c>
      <c r="AJ39">
        <v>61</v>
      </c>
      <c r="AK39">
        <v>62</v>
      </c>
      <c r="AL39">
        <v>219</v>
      </c>
      <c r="AM39">
        <v>489</v>
      </c>
      <c r="AN39">
        <v>256</v>
      </c>
      <c r="AO39">
        <v>184</v>
      </c>
      <c r="AP39">
        <v>45</v>
      </c>
      <c r="AQ39">
        <v>19</v>
      </c>
      <c r="AR39">
        <v>52</v>
      </c>
      <c r="AS39">
        <v>30</v>
      </c>
      <c r="AT39">
        <v>120</v>
      </c>
      <c r="AU39">
        <v>103</v>
      </c>
      <c r="AV39">
        <v>84</v>
      </c>
      <c r="AW39">
        <v>90</v>
      </c>
      <c r="AX39">
        <v>10</v>
      </c>
      <c r="AY39">
        <v>88</v>
      </c>
      <c r="AZ39">
        <v>31.8</v>
      </c>
      <c r="BA39">
        <v>92.7</v>
      </c>
      <c r="BB39">
        <v>3.9383306999999999</v>
      </c>
      <c r="BC39">
        <v>1.8562765000000001</v>
      </c>
      <c r="BD39">
        <v>1</v>
      </c>
      <c r="BE39">
        <v>0</v>
      </c>
      <c r="BF39">
        <v>3</v>
      </c>
      <c r="BG39">
        <v>7</v>
      </c>
      <c r="BH39">
        <v>7401.3329999999996</v>
      </c>
      <c r="BI39">
        <v>4898.5709999999999</v>
      </c>
      <c r="BJ39">
        <f t="shared" si="0"/>
        <v>1.5767582710781911</v>
      </c>
      <c r="BK39" s="10">
        <f t="shared" si="1"/>
        <v>1.2329931972789115E-2</v>
      </c>
      <c r="BL39">
        <f t="shared" si="2"/>
        <v>281</v>
      </c>
      <c r="BM39">
        <f t="shared" si="3"/>
        <v>1</v>
      </c>
      <c r="BQ39">
        <v>2301</v>
      </c>
      <c r="BR39">
        <v>1.5767582710781911</v>
      </c>
      <c r="BS39">
        <v>281</v>
      </c>
      <c r="BT39">
        <v>-71.141113000000004</v>
      </c>
      <c r="BU39">
        <v>61.547085000000003</v>
      </c>
      <c r="BV39">
        <v>3.9383306999999999</v>
      </c>
    </row>
    <row r="40" spans="1:74" x14ac:dyDescent="0.2">
      <c r="A40" t="s">
        <v>127</v>
      </c>
      <c r="B40">
        <v>12724</v>
      </c>
      <c r="C40">
        <v>42.349850000000004</v>
      </c>
      <c r="D40">
        <v>-71.103499999999997</v>
      </c>
      <c r="E40">
        <v>71.190002000000007</v>
      </c>
      <c r="F40">
        <v>420</v>
      </c>
      <c r="G40">
        <v>65.978363000000002</v>
      </c>
      <c r="H40">
        <v>101.03</v>
      </c>
      <c r="I40">
        <v>10</v>
      </c>
      <c r="J40" t="s">
        <v>128</v>
      </c>
      <c r="K40" t="s">
        <v>66</v>
      </c>
      <c r="L40">
        <v>2.8838470000000001E-2</v>
      </c>
      <c r="M40">
        <v>5</v>
      </c>
      <c r="N40">
        <v>1374</v>
      </c>
      <c r="O40">
        <v>10.8</v>
      </c>
      <c r="P40">
        <v>9.3000000000000007</v>
      </c>
      <c r="Q40">
        <v>1.5</v>
      </c>
      <c r="R40">
        <v>14.3</v>
      </c>
      <c r="S40">
        <v>55</v>
      </c>
      <c r="T40">
        <v>0.4</v>
      </c>
      <c r="U40">
        <v>1.3</v>
      </c>
      <c r="V40">
        <v>18.2</v>
      </c>
      <c r="W40">
        <v>29.4</v>
      </c>
      <c r="X40">
        <v>21.4</v>
      </c>
      <c r="Y40">
        <v>17.7</v>
      </c>
      <c r="Z40">
        <v>12.5</v>
      </c>
      <c r="AA40">
        <v>0.8</v>
      </c>
      <c r="AB40">
        <v>7.1</v>
      </c>
      <c r="AC40">
        <v>4</v>
      </c>
      <c r="AD40">
        <v>3.8</v>
      </c>
      <c r="AE40">
        <v>3.2</v>
      </c>
      <c r="AF40">
        <v>16.5</v>
      </c>
      <c r="AG40">
        <v>3527</v>
      </c>
      <c r="AH40">
        <v>0</v>
      </c>
      <c r="AI40">
        <v>9</v>
      </c>
      <c r="AJ40">
        <v>0</v>
      </c>
      <c r="AK40">
        <v>1797</v>
      </c>
      <c r="AL40">
        <v>1259</v>
      </c>
      <c r="AM40">
        <v>206</v>
      </c>
      <c r="AN40">
        <v>28</v>
      </c>
      <c r="AO40">
        <v>144</v>
      </c>
      <c r="AP40">
        <v>24</v>
      </c>
      <c r="AQ40">
        <v>25</v>
      </c>
      <c r="AR40">
        <v>19</v>
      </c>
      <c r="AS40">
        <v>0</v>
      </c>
      <c r="AT40">
        <v>1</v>
      </c>
      <c r="AU40">
        <v>0</v>
      </c>
      <c r="AV40">
        <v>15</v>
      </c>
      <c r="AW40">
        <v>0</v>
      </c>
      <c r="AX40">
        <v>0</v>
      </c>
      <c r="AY40">
        <v>0</v>
      </c>
      <c r="AZ40">
        <v>20</v>
      </c>
      <c r="BA40">
        <v>85.8</v>
      </c>
      <c r="BB40">
        <v>1.9641867</v>
      </c>
      <c r="BC40">
        <v>0.83545535999999998</v>
      </c>
      <c r="BD40">
        <v>1</v>
      </c>
      <c r="BE40">
        <v>0</v>
      </c>
      <c r="BF40">
        <v>6</v>
      </c>
      <c r="BG40">
        <v>15</v>
      </c>
      <c r="BH40">
        <v>9046.8330000000005</v>
      </c>
      <c r="BI40">
        <v>17050</v>
      </c>
      <c r="BJ40">
        <f t="shared" si="0"/>
        <v>0.14661249552280328</v>
      </c>
      <c r="BK40" s="10">
        <f t="shared" si="1"/>
        <v>1.3245997088791848E-2</v>
      </c>
      <c r="BL40">
        <f t="shared" si="2"/>
        <v>3056</v>
      </c>
      <c r="BM40">
        <f t="shared" si="3"/>
        <v>1</v>
      </c>
      <c r="BQ40">
        <v>12724</v>
      </c>
      <c r="BR40">
        <v>0.14661249552280328</v>
      </c>
      <c r="BS40">
        <v>3056</v>
      </c>
      <c r="BT40">
        <v>-71.103499999999997</v>
      </c>
      <c r="BU40">
        <v>65.978363000000002</v>
      </c>
      <c r="BV40">
        <v>1.9641867</v>
      </c>
    </row>
    <row r="41" spans="1:74" x14ac:dyDescent="0.2">
      <c r="A41" t="s">
        <v>129</v>
      </c>
      <c r="B41">
        <v>12758</v>
      </c>
      <c r="C41">
        <v>42.350002000000003</v>
      </c>
      <c r="D41">
        <v>-71.133408000000003</v>
      </c>
      <c r="E41">
        <v>59.25</v>
      </c>
      <c r="F41">
        <v>2735</v>
      </c>
      <c r="G41">
        <v>89.654007000000007</v>
      </c>
      <c r="H41">
        <v>7.04</v>
      </c>
      <c r="I41">
        <v>10</v>
      </c>
      <c r="J41" t="s">
        <v>130</v>
      </c>
      <c r="K41" t="s">
        <v>66</v>
      </c>
      <c r="L41">
        <v>9.6459690000000001E-2</v>
      </c>
      <c r="M41">
        <v>2</v>
      </c>
      <c r="N41">
        <v>3122</v>
      </c>
      <c r="O41">
        <v>27.7</v>
      </c>
      <c r="P41">
        <v>22.6</v>
      </c>
      <c r="Q41">
        <v>5</v>
      </c>
      <c r="R41">
        <v>34.799999999999997</v>
      </c>
      <c r="S41">
        <v>9</v>
      </c>
      <c r="T41">
        <v>5.3</v>
      </c>
      <c r="U41">
        <v>2.8</v>
      </c>
      <c r="V41">
        <v>20.5</v>
      </c>
      <c r="W41">
        <v>2.1</v>
      </c>
      <c r="X41">
        <v>2.9</v>
      </c>
      <c r="Y41">
        <v>12.4</v>
      </c>
      <c r="Z41">
        <v>15.1</v>
      </c>
      <c r="AA41">
        <v>5.9</v>
      </c>
      <c r="AB41">
        <v>21.5</v>
      </c>
      <c r="AC41">
        <v>8.5</v>
      </c>
      <c r="AD41">
        <v>15.3</v>
      </c>
      <c r="AE41">
        <v>16.3</v>
      </c>
      <c r="AF41">
        <v>35.5</v>
      </c>
      <c r="AG41">
        <v>4043</v>
      </c>
      <c r="AH41">
        <v>0</v>
      </c>
      <c r="AI41">
        <v>126</v>
      </c>
      <c r="AJ41">
        <v>0</v>
      </c>
      <c r="AK41">
        <v>49</v>
      </c>
      <c r="AL41">
        <v>900</v>
      </c>
      <c r="AM41">
        <v>951</v>
      </c>
      <c r="AN41">
        <v>931</v>
      </c>
      <c r="AO41">
        <v>506</v>
      </c>
      <c r="AP41">
        <v>137</v>
      </c>
      <c r="AQ41">
        <v>0</v>
      </c>
      <c r="AR41">
        <v>36</v>
      </c>
      <c r="AS41">
        <v>141</v>
      </c>
      <c r="AT41">
        <v>56</v>
      </c>
      <c r="AU41">
        <v>55</v>
      </c>
      <c r="AV41">
        <v>113</v>
      </c>
      <c r="AW41">
        <v>0</v>
      </c>
      <c r="AX41">
        <v>18</v>
      </c>
      <c r="AY41">
        <v>24</v>
      </c>
      <c r="AZ41">
        <v>30</v>
      </c>
      <c r="BA41">
        <v>92.6</v>
      </c>
      <c r="BB41">
        <v>3.4754782</v>
      </c>
      <c r="BC41">
        <v>1.6546460000000001</v>
      </c>
      <c r="BD41">
        <v>1</v>
      </c>
      <c r="BE41">
        <v>0</v>
      </c>
      <c r="BF41">
        <v>2</v>
      </c>
      <c r="BG41">
        <v>12</v>
      </c>
      <c r="BH41">
        <v>8173.5</v>
      </c>
      <c r="BI41">
        <v>6139.6670000000004</v>
      </c>
      <c r="BJ41">
        <f t="shared" si="0"/>
        <v>1.1819996830136836</v>
      </c>
      <c r="BK41" s="10">
        <f t="shared" si="1"/>
        <v>6.566303651505445E-3</v>
      </c>
      <c r="BL41">
        <f t="shared" si="2"/>
        <v>949</v>
      </c>
      <c r="BM41">
        <f t="shared" si="3"/>
        <v>1</v>
      </c>
      <c r="BQ41">
        <v>12758</v>
      </c>
      <c r="BR41">
        <v>1.1819996830136836</v>
      </c>
      <c r="BS41">
        <v>949</v>
      </c>
      <c r="BT41">
        <v>-71.133408000000003</v>
      </c>
      <c r="BU41">
        <v>89.654007000000007</v>
      </c>
      <c r="BV41">
        <v>3.4754782</v>
      </c>
    </row>
    <row r="42" spans="1:74" x14ac:dyDescent="0.2">
      <c r="A42" t="s">
        <v>131</v>
      </c>
      <c r="B42">
        <v>10045</v>
      </c>
      <c r="C42">
        <v>42.346958000000001</v>
      </c>
      <c r="D42">
        <v>-71.137985</v>
      </c>
      <c r="E42">
        <v>56.939999</v>
      </c>
      <c r="F42">
        <v>2384</v>
      </c>
      <c r="G42">
        <v>79.329116999999997</v>
      </c>
      <c r="H42">
        <v>7.01</v>
      </c>
      <c r="I42">
        <v>10</v>
      </c>
      <c r="J42" t="s">
        <v>88</v>
      </c>
      <c r="K42" t="s">
        <v>66</v>
      </c>
      <c r="L42">
        <v>0.10001343</v>
      </c>
      <c r="M42">
        <v>1</v>
      </c>
      <c r="N42">
        <v>2989</v>
      </c>
      <c r="O42">
        <v>19.399999999999999</v>
      </c>
      <c r="P42">
        <v>13</v>
      </c>
      <c r="Q42">
        <v>6.3</v>
      </c>
      <c r="R42">
        <v>31.5</v>
      </c>
      <c r="S42">
        <v>8</v>
      </c>
      <c r="T42">
        <v>4.4000000000000004</v>
      </c>
      <c r="U42">
        <v>0</v>
      </c>
      <c r="V42">
        <v>36.799999999999997</v>
      </c>
      <c r="W42">
        <v>1.4</v>
      </c>
      <c r="X42">
        <v>8.4</v>
      </c>
      <c r="Y42">
        <v>8.8000000000000007</v>
      </c>
      <c r="Z42">
        <v>5.2</v>
      </c>
      <c r="AA42">
        <v>8.3000000000000007</v>
      </c>
      <c r="AB42">
        <v>19.399999999999999</v>
      </c>
      <c r="AC42">
        <v>11.2</v>
      </c>
      <c r="AD42">
        <v>23.5</v>
      </c>
      <c r="AE42">
        <v>13.9</v>
      </c>
      <c r="AF42">
        <v>36.5</v>
      </c>
      <c r="AG42">
        <v>4111</v>
      </c>
      <c r="AH42">
        <v>12</v>
      </c>
      <c r="AI42">
        <v>0</v>
      </c>
      <c r="AJ42">
        <v>7</v>
      </c>
      <c r="AK42">
        <v>14</v>
      </c>
      <c r="AL42">
        <v>634</v>
      </c>
      <c r="AM42">
        <v>2042</v>
      </c>
      <c r="AN42">
        <v>559</v>
      </c>
      <c r="AO42">
        <v>241</v>
      </c>
      <c r="AP42">
        <v>138</v>
      </c>
      <c r="AQ42">
        <v>79</v>
      </c>
      <c r="AR42">
        <v>29</v>
      </c>
      <c r="AS42">
        <v>56</v>
      </c>
      <c r="AT42">
        <v>99</v>
      </c>
      <c r="AU42">
        <v>60</v>
      </c>
      <c r="AV42">
        <v>96</v>
      </c>
      <c r="AW42">
        <v>24</v>
      </c>
      <c r="AX42">
        <v>0</v>
      </c>
      <c r="AY42">
        <v>21</v>
      </c>
      <c r="AZ42">
        <v>27.5</v>
      </c>
      <c r="BA42">
        <v>132.69999999999999</v>
      </c>
      <c r="BB42">
        <v>3.7340434</v>
      </c>
      <c r="BC42">
        <v>1.7748842</v>
      </c>
      <c r="BD42">
        <v>1</v>
      </c>
      <c r="BE42">
        <v>0</v>
      </c>
      <c r="BF42">
        <v>2</v>
      </c>
      <c r="BG42">
        <v>9</v>
      </c>
      <c r="BH42">
        <v>2649.5</v>
      </c>
      <c r="BI42">
        <v>5175.5559999999996</v>
      </c>
      <c r="BJ42">
        <f t="shared" si="0"/>
        <v>1.3964983718157553</v>
      </c>
      <c r="BK42" s="10">
        <f t="shared" si="1"/>
        <v>1.2311809969889594E-2</v>
      </c>
      <c r="BL42">
        <f t="shared" si="2"/>
        <v>648</v>
      </c>
      <c r="BM42">
        <f t="shared" si="3"/>
        <v>1</v>
      </c>
      <c r="BQ42">
        <v>10045</v>
      </c>
      <c r="BR42">
        <v>1.3964983718157553</v>
      </c>
      <c r="BS42">
        <v>648</v>
      </c>
      <c r="BT42">
        <v>-71.137985</v>
      </c>
      <c r="BU42">
        <v>79.329116999999997</v>
      </c>
      <c r="BV42">
        <v>3.7340434</v>
      </c>
    </row>
    <row r="43" spans="1:74" x14ac:dyDescent="0.2">
      <c r="A43" t="s">
        <v>132</v>
      </c>
      <c r="B43">
        <v>8623</v>
      </c>
      <c r="C43">
        <v>42.351329999999997</v>
      </c>
      <c r="D43">
        <v>-71.128219999999999</v>
      </c>
      <c r="E43">
        <v>43.98</v>
      </c>
      <c r="F43">
        <v>1375</v>
      </c>
      <c r="G43">
        <v>55.525238000000002</v>
      </c>
      <c r="H43">
        <v>7.03</v>
      </c>
      <c r="I43">
        <v>10</v>
      </c>
      <c r="J43" t="s">
        <v>65</v>
      </c>
      <c r="K43" t="s">
        <v>66</v>
      </c>
      <c r="L43">
        <v>7.0464970000000002E-2</v>
      </c>
      <c r="M43">
        <v>2</v>
      </c>
      <c r="N43">
        <v>1208</v>
      </c>
      <c r="O43">
        <v>9.4</v>
      </c>
      <c r="P43">
        <v>8.9</v>
      </c>
      <c r="Q43">
        <v>0.5</v>
      </c>
      <c r="R43">
        <v>44.9</v>
      </c>
      <c r="S43">
        <v>23.1</v>
      </c>
      <c r="T43">
        <v>5.2</v>
      </c>
      <c r="U43">
        <v>0.9</v>
      </c>
      <c r="V43">
        <v>16.5</v>
      </c>
      <c r="W43">
        <v>4.4000000000000004</v>
      </c>
      <c r="X43">
        <v>3.6</v>
      </c>
      <c r="Y43">
        <v>10.8</v>
      </c>
      <c r="Z43">
        <v>15.7</v>
      </c>
      <c r="AA43">
        <v>5.5</v>
      </c>
      <c r="AB43">
        <v>19.7</v>
      </c>
      <c r="AC43">
        <v>17.2</v>
      </c>
      <c r="AD43">
        <v>21.2</v>
      </c>
      <c r="AE43">
        <v>2</v>
      </c>
      <c r="AF43">
        <v>31</v>
      </c>
      <c r="AG43">
        <v>1724</v>
      </c>
      <c r="AH43">
        <v>0</v>
      </c>
      <c r="AI43">
        <v>0</v>
      </c>
      <c r="AJ43">
        <v>0</v>
      </c>
      <c r="AK43">
        <v>14</v>
      </c>
      <c r="AL43">
        <v>684</v>
      </c>
      <c r="AM43">
        <v>526</v>
      </c>
      <c r="AN43">
        <v>295</v>
      </c>
      <c r="AO43">
        <v>51</v>
      </c>
      <c r="AP43">
        <v>8</v>
      </c>
      <c r="AQ43">
        <v>27</v>
      </c>
      <c r="AR43">
        <v>23</v>
      </c>
      <c r="AS43">
        <v>44</v>
      </c>
      <c r="AT43">
        <v>41</v>
      </c>
      <c r="AU43">
        <v>0</v>
      </c>
      <c r="AV43">
        <v>9</v>
      </c>
      <c r="AW43">
        <v>0</v>
      </c>
      <c r="AX43">
        <v>0</v>
      </c>
      <c r="AY43">
        <v>2</v>
      </c>
      <c r="AZ43">
        <v>26.7</v>
      </c>
      <c r="BA43">
        <v>145.19999999999999</v>
      </c>
      <c r="BB43">
        <v>3.2032417999999998</v>
      </c>
      <c r="BC43">
        <v>1.4882911000000001</v>
      </c>
      <c r="BD43">
        <v>1</v>
      </c>
      <c r="BE43">
        <v>0</v>
      </c>
      <c r="BF43">
        <v>5</v>
      </c>
      <c r="BG43">
        <v>11</v>
      </c>
      <c r="BH43">
        <v>13008.6</v>
      </c>
      <c r="BI43">
        <v>10754.45</v>
      </c>
      <c r="BJ43">
        <f t="shared" si="0"/>
        <v>0.95543777321744228</v>
      </c>
      <c r="BK43" s="10">
        <f t="shared" si="1"/>
        <v>1.3658940397350994E-2</v>
      </c>
      <c r="BL43">
        <f t="shared" si="2"/>
        <v>698</v>
      </c>
      <c r="BM43">
        <f t="shared" si="3"/>
        <v>1</v>
      </c>
      <c r="BQ43">
        <v>8623</v>
      </c>
      <c r="BR43">
        <v>0.95543777321744228</v>
      </c>
      <c r="BS43">
        <v>698</v>
      </c>
      <c r="BT43">
        <v>-71.128219999999999</v>
      </c>
      <c r="BU43">
        <v>55.525238000000002</v>
      </c>
      <c r="BV43">
        <v>3.2032417999999998</v>
      </c>
    </row>
    <row r="44" spans="1:74" x14ac:dyDescent="0.2">
      <c r="A44" t="s">
        <v>133</v>
      </c>
      <c r="B44">
        <v>15460</v>
      </c>
      <c r="C44">
        <v>42.342522000000002</v>
      </c>
      <c r="D44">
        <v>-71.128119999999996</v>
      </c>
      <c r="E44">
        <v>81.699996999999996</v>
      </c>
      <c r="F44">
        <v>2169</v>
      </c>
      <c r="G44">
        <v>47.613219999999998</v>
      </c>
      <c r="H44">
        <v>4004.01</v>
      </c>
      <c r="I44">
        <v>4</v>
      </c>
      <c r="J44" t="s">
        <v>134</v>
      </c>
      <c r="K44" t="s">
        <v>63</v>
      </c>
      <c r="L44">
        <v>0.13482673000000001</v>
      </c>
      <c r="M44">
        <v>1</v>
      </c>
      <c r="N44">
        <v>2357</v>
      </c>
      <c r="O44">
        <v>23.9</v>
      </c>
      <c r="P44">
        <v>23.6</v>
      </c>
      <c r="Q44">
        <v>0.3</v>
      </c>
      <c r="R44">
        <v>31.7</v>
      </c>
      <c r="S44">
        <v>10.1</v>
      </c>
      <c r="T44">
        <v>4.8</v>
      </c>
      <c r="U44">
        <v>5</v>
      </c>
      <c r="V44">
        <v>24.4</v>
      </c>
      <c r="W44">
        <v>2.4E-2</v>
      </c>
      <c r="X44">
        <v>3.3000000000000002E-2</v>
      </c>
      <c r="Y44">
        <v>3.9E-2</v>
      </c>
      <c r="Z44">
        <v>0.13200000000000001</v>
      </c>
      <c r="AA44">
        <v>0.122</v>
      </c>
      <c r="AB44">
        <v>0.21099999999999999</v>
      </c>
      <c r="AC44">
        <v>0.13600000000000001</v>
      </c>
      <c r="AD44">
        <v>0.182</v>
      </c>
      <c r="AE44">
        <v>0.12</v>
      </c>
      <c r="AF44">
        <v>37.6</v>
      </c>
      <c r="AG44">
        <v>3945</v>
      </c>
      <c r="AH44">
        <v>142</v>
      </c>
      <c r="AI44">
        <v>80</v>
      </c>
      <c r="AJ44">
        <v>38</v>
      </c>
      <c r="AK44">
        <v>127</v>
      </c>
      <c r="AL44">
        <v>514</v>
      </c>
      <c r="AM44">
        <v>599</v>
      </c>
      <c r="AN44">
        <v>520</v>
      </c>
      <c r="AO44">
        <v>223</v>
      </c>
      <c r="AP44">
        <v>120</v>
      </c>
      <c r="AQ44">
        <v>54</v>
      </c>
      <c r="AR44">
        <v>144</v>
      </c>
      <c r="AS44">
        <v>187</v>
      </c>
      <c r="AT44">
        <v>366</v>
      </c>
      <c r="AU44">
        <v>118</v>
      </c>
      <c r="AV44">
        <v>263</v>
      </c>
      <c r="AW44">
        <v>68</v>
      </c>
      <c r="AX44">
        <v>288</v>
      </c>
      <c r="AY44">
        <v>94</v>
      </c>
      <c r="AZ44">
        <v>34.6</v>
      </c>
      <c r="BA44">
        <v>76.400000000000006</v>
      </c>
      <c r="BB44">
        <v>3.3041317000000001</v>
      </c>
      <c r="BC44">
        <v>1.2000024</v>
      </c>
      <c r="BD44">
        <v>0</v>
      </c>
      <c r="BE44">
        <v>0</v>
      </c>
      <c r="BF44">
        <v>2</v>
      </c>
      <c r="BG44">
        <v>4</v>
      </c>
      <c r="BH44">
        <v>12271</v>
      </c>
      <c r="BI44">
        <v>9695.25</v>
      </c>
      <c r="BJ44">
        <f t="shared" si="0"/>
        <v>1.0455603064306738</v>
      </c>
      <c r="BK44" s="10">
        <f t="shared" si="1"/>
        <v>1.0352142554094187E-2</v>
      </c>
      <c r="BL44">
        <f t="shared" si="2"/>
        <v>641</v>
      </c>
      <c r="BM44">
        <f t="shared" si="3"/>
        <v>1</v>
      </c>
      <c r="BQ44">
        <v>15460</v>
      </c>
      <c r="BR44">
        <v>1.0455603064306738</v>
      </c>
      <c r="BS44">
        <v>641</v>
      </c>
      <c r="BT44">
        <v>-71.128119999999996</v>
      </c>
      <c r="BU44">
        <v>47.613219999999998</v>
      </c>
      <c r="BV44">
        <v>3.3041317000000001</v>
      </c>
    </row>
    <row r="45" spans="1:74" x14ac:dyDescent="0.2">
      <c r="A45" t="s">
        <v>135</v>
      </c>
      <c r="B45">
        <v>4738</v>
      </c>
      <c r="C45">
        <v>42.311756000000003</v>
      </c>
      <c r="D45">
        <v>-71.118140999999994</v>
      </c>
      <c r="E45">
        <v>84.059997999999993</v>
      </c>
      <c r="F45">
        <v>727</v>
      </c>
      <c r="G45">
        <v>19.533667000000001</v>
      </c>
      <c r="H45">
        <v>1201.03</v>
      </c>
      <c r="I45">
        <v>10</v>
      </c>
      <c r="J45" t="s">
        <v>111</v>
      </c>
      <c r="K45" t="s">
        <v>69</v>
      </c>
      <c r="L45">
        <v>0.40014507999999999</v>
      </c>
      <c r="M45">
        <v>0</v>
      </c>
      <c r="N45">
        <v>1172</v>
      </c>
      <c r="O45">
        <v>32.299999999999997</v>
      </c>
      <c r="P45">
        <v>26.7</v>
      </c>
      <c r="Q45">
        <v>5.6</v>
      </c>
      <c r="R45">
        <v>17.2</v>
      </c>
      <c r="S45">
        <v>14.2</v>
      </c>
      <c r="T45">
        <v>8.9</v>
      </c>
      <c r="U45">
        <v>0</v>
      </c>
      <c r="V45">
        <v>27.5</v>
      </c>
      <c r="W45">
        <v>11.9</v>
      </c>
      <c r="X45">
        <v>3.5</v>
      </c>
      <c r="Y45">
        <v>13.1</v>
      </c>
      <c r="Z45">
        <v>10.8</v>
      </c>
      <c r="AA45">
        <v>13.2</v>
      </c>
      <c r="AB45">
        <v>18.7</v>
      </c>
      <c r="AC45">
        <v>14.2</v>
      </c>
      <c r="AD45">
        <v>9.4</v>
      </c>
      <c r="AE45">
        <v>5.2</v>
      </c>
      <c r="AF45">
        <v>26.8</v>
      </c>
      <c r="AG45">
        <v>1823</v>
      </c>
      <c r="AH45">
        <v>63</v>
      </c>
      <c r="AI45">
        <v>63</v>
      </c>
      <c r="AJ45">
        <v>122</v>
      </c>
      <c r="AK45">
        <v>100</v>
      </c>
      <c r="AL45">
        <v>28</v>
      </c>
      <c r="AM45">
        <v>109</v>
      </c>
      <c r="AN45">
        <v>223</v>
      </c>
      <c r="AO45">
        <v>175</v>
      </c>
      <c r="AP45">
        <v>131</v>
      </c>
      <c r="AQ45">
        <v>154</v>
      </c>
      <c r="AR45">
        <v>98</v>
      </c>
      <c r="AS45">
        <v>133</v>
      </c>
      <c r="AT45">
        <v>148</v>
      </c>
      <c r="AU45">
        <v>74</v>
      </c>
      <c r="AV45">
        <v>96</v>
      </c>
      <c r="AW45">
        <v>63</v>
      </c>
      <c r="AX45">
        <v>36</v>
      </c>
      <c r="AY45">
        <v>7</v>
      </c>
      <c r="AZ45">
        <v>40.799999999999997</v>
      </c>
      <c r="BA45">
        <v>101.7</v>
      </c>
      <c r="BB45">
        <v>4.0181370000000003</v>
      </c>
      <c r="BC45">
        <v>1.9152446000000001</v>
      </c>
      <c r="BD45">
        <v>1</v>
      </c>
      <c r="BE45">
        <v>0</v>
      </c>
      <c r="BF45">
        <v>1</v>
      </c>
      <c r="BG45">
        <v>4</v>
      </c>
      <c r="BH45">
        <v>2198</v>
      </c>
      <c r="BI45">
        <v>5160</v>
      </c>
      <c r="BJ45">
        <f t="shared" si="0"/>
        <v>2.3468784804078666</v>
      </c>
      <c r="BK45" s="10">
        <f t="shared" si="1"/>
        <v>2.3464163822525596E-2</v>
      </c>
      <c r="BL45">
        <f t="shared" si="2"/>
        <v>128</v>
      </c>
      <c r="BM45">
        <f t="shared" si="3"/>
        <v>0</v>
      </c>
      <c r="BQ45">
        <v>4738</v>
      </c>
      <c r="BR45">
        <v>2.3468784804078666</v>
      </c>
      <c r="BS45">
        <v>128</v>
      </c>
      <c r="BT45">
        <v>-71.118140999999994</v>
      </c>
      <c r="BU45">
        <v>19.533667000000001</v>
      </c>
      <c r="BV45">
        <v>4.0181370000000003</v>
      </c>
    </row>
    <row r="46" spans="1:74" x14ac:dyDescent="0.2">
      <c r="A46" t="s">
        <v>136</v>
      </c>
      <c r="B46">
        <v>4017</v>
      </c>
      <c r="C46">
        <v>42.327689999999997</v>
      </c>
      <c r="D46">
        <v>-71.119629000000003</v>
      </c>
      <c r="E46">
        <v>159.44999999999999</v>
      </c>
      <c r="F46">
        <v>1454</v>
      </c>
      <c r="G46">
        <v>22.163689000000002</v>
      </c>
      <c r="H46">
        <v>4010</v>
      </c>
      <c r="I46">
        <v>4</v>
      </c>
      <c r="J46" t="s">
        <v>137</v>
      </c>
      <c r="K46" t="s">
        <v>75</v>
      </c>
      <c r="L46">
        <v>0.25473329</v>
      </c>
      <c r="M46">
        <v>0</v>
      </c>
      <c r="N46">
        <v>1945</v>
      </c>
      <c r="O46">
        <v>35.700000000000003</v>
      </c>
      <c r="P46">
        <v>30.1</v>
      </c>
      <c r="Q46">
        <v>5.6</v>
      </c>
      <c r="R46">
        <v>16.3</v>
      </c>
      <c r="S46">
        <v>12.5</v>
      </c>
      <c r="T46">
        <v>10.5</v>
      </c>
      <c r="U46">
        <v>0</v>
      </c>
      <c r="V46">
        <v>24.9</v>
      </c>
      <c r="W46">
        <v>2.5999999999999999E-2</v>
      </c>
      <c r="X46">
        <v>0.156</v>
      </c>
      <c r="Y46">
        <v>9.6000000000000002E-2</v>
      </c>
      <c r="Z46">
        <v>0.21</v>
      </c>
      <c r="AA46">
        <v>3.9E-2</v>
      </c>
      <c r="AB46">
        <v>0.17199999999999999</v>
      </c>
      <c r="AC46">
        <v>0.14000000000000001</v>
      </c>
      <c r="AD46">
        <v>0.10299999999999999</v>
      </c>
      <c r="AE46">
        <v>5.8000000000000003E-2</v>
      </c>
      <c r="AF46">
        <v>27.2</v>
      </c>
      <c r="AG46">
        <v>3561</v>
      </c>
      <c r="AH46">
        <v>238</v>
      </c>
      <c r="AI46">
        <v>201</v>
      </c>
      <c r="AJ46">
        <v>276</v>
      </c>
      <c r="AK46">
        <v>260</v>
      </c>
      <c r="AL46">
        <v>187</v>
      </c>
      <c r="AM46">
        <v>330</v>
      </c>
      <c r="AN46">
        <v>173</v>
      </c>
      <c r="AO46">
        <v>317</v>
      </c>
      <c r="AP46">
        <v>158</v>
      </c>
      <c r="AQ46">
        <v>382</v>
      </c>
      <c r="AR46">
        <v>226</v>
      </c>
      <c r="AS46">
        <v>176</v>
      </c>
      <c r="AT46">
        <v>123</v>
      </c>
      <c r="AU46">
        <v>210</v>
      </c>
      <c r="AV46">
        <v>137</v>
      </c>
      <c r="AW46">
        <v>73</v>
      </c>
      <c r="AX46">
        <v>45</v>
      </c>
      <c r="AY46">
        <v>49</v>
      </c>
      <c r="AZ46">
        <v>35.9</v>
      </c>
      <c r="BA46">
        <v>81.5</v>
      </c>
      <c r="BB46">
        <v>3.3427416999999999</v>
      </c>
      <c r="BC46">
        <v>1.0070665000000001</v>
      </c>
      <c r="BD46">
        <v>0</v>
      </c>
      <c r="BE46">
        <v>0</v>
      </c>
      <c r="BF46">
        <v>0</v>
      </c>
      <c r="BG46">
        <v>3</v>
      </c>
      <c r="BH46">
        <v>0</v>
      </c>
      <c r="BI46">
        <v>3983.6669999999999</v>
      </c>
      <c r="BJ46">
        <f t="shared" si="0"/>
        <v>1.4510234899529313</v>
      </c>
      <c r="BK46" s="10">
        <f t="shared" si="1"/>
        <v>1.2802056555269923E-2</v>
      </c>
      <c r="BL46">
        <f t="shared" si="2"/>
        <v>447</v>
      </c>
      <c r="BM46">
        <f t="shared" si="3"/>
        <v>1</v>
      </c>
      <c r="BQ46">
        <v>4017</v>
      </c>
      <c r="BR46">
        <v>1.4510234899529313</v>
      </c>
      <c r="BS46">
        <v>447</v>
      </c>
      <c r="BT46">
        <v>-71.119629000000003</v>
      </c>
      <c r="BU46">
        <v>22.163689000000002</v>
      </c>
      <c r="BV46">
        <v>3.3427416999999999</v>
      </c>
    </row>
    <row r="47" spans="1:74" x14ac:dyDescent="0.2">
      <c r="A47" t="s">
        <v>138</v>
      </c>
      <c r="B47">
        <v>24181</v>
      </c>
      <c r="C47">
        <v>42.349429999999998</v>
      </c>
      <c r="D47">
        <v>-71.09375</v>
      </c>
      <c r="E47">
        <v>70.839995999999999</v>
      </c>
      <c r="F47">
        <v>2125</v>
      </c>
      <c r="G47">
        <v>71.470923999999997</v>
      </c>
      <c r="H47">
        <v>101.04</v>
      </c>
      <c r="I47">
        <v>10</v>
      </c>
      <c r="J47" t="s">
        <v>90</v>
      </c>
      <c r="K47" t="s">
        <v>91</v>
      </c>
      <c r="L47">
        <v>0.10762054</v>
      </c>
      <c r="M47">
        <v>2</v>
      </c>
      <c r="N47">
        <v>2266</v>
      </c>
      <c r="O47">
        <v>12.3</v>
      </c>
      <c r="P47">
        <v>10</v>
      </c>
      <c r="Q47">
        <v>2.2999999999999998</v>
      </c>
      <c r="R47">
        <v>26.1</v>
      </c>
      <c r="S47">
        <v>36.4</v>
      </c>
      <c r="T47">
        <v>3.9</v>
      </c>
      <c r="U47">
        <v>1.5</v>
      </c>
      <c r="V47">
        <v>19.8</v>
      </c>
      <c r="W47">
        <v>24.2</v>
      </c>
      <c r="X47">
        <v>7.7</v>
      </c>
      <c r="Y47">
        <v>16</v>
      </c>
      <c r="Z47">
        <v>10.6</v>
      </c>
      <c r="AA47">
        <v>16.8</v>
      </c>
      <c r="AB47">
        <v>12.6</v>
      </c>
      <c r="AC47">
        <v>4.4000000000000004</v>
      </c>
      <c r="AD47">
        <v>5.3</v>
      </c>
      <c r="AE47">
        <v>2.4</v>
      </c>
      <c r="AF47">
        <v>20.3</v>
      </c>
      <c r="AG47">
        <v>4662</v>
      </c>
      <c r="AH47">
        <v>51</v>
      </c>
      <c r="AI47">
        <v>0</v>
      </c>
      <c r="AJ47">
        <v>35</v>
      </c>
      <c r="AK47">
        <v>1190</v>
      </c>
      <c r="AL47">
        <v>1472</v>
      </c>
      <c r="AM47">
        <v>622</v>
      </c>
      <c r="AN47">
        <v>362</v>
      </c>
      <c r="AO47">
        <v>154</v>
      </c>
      <c r="AP47">
        <v>49</v>
      </c>
      <c r="AQ47">
        <v>60</v>
      </c>
      <c r="AR47">
        <v>62</v>
      </c>
      <c r="AS47">
        <v>81</v>
      </c>
      <c r="AT47">
        <v>116</v>
      </c>
      <c r="AU47">
        <v>125</v>
      </c>
      <c r="AV47">
        <v>151</v>
      </c>
      <c r="AW47">
        <v>45</v>
      </c>
      <c r="AX47">
        <v>56</v>
      </c>
      <c r="AY47">
        <v>31</v>
      </c>
      <c r="AZ47">
        <v>22.2</v>
      </c>
      <c r="BA47">
        <v>78.099999999999994</v>
      </c>
      <c r="BB47">
        <v>1.4851048</v>
      </c>
      <c r="BC47">
        <v>0.99999499000000003</v>
      </c>
      <c r="BD47">
        <v>1</v>
      </c>
      <c r="BE47">
        <v>0</v>
      </c>
      <c r="BF47">
        <v>5</v>
      </c>
      <c r="BG47">
        <v>14</v>
      </c>
      <c r="BH47">
        <v>12563.8</v>
      </c>
      <c r="BI47">
        <v>17682.86</v>
      </c>
      <c r="BJ47">
        <f t="shared" si="0"/>
        <v>0.58036870595257273</v>
      </c>
      <c r="BK47" s="10">
        <f t="shared" si="1"/>
        <v>8.7378640776699032E-3</v>
      </c>
      <c r="BL47">
        <f t="shared" si="2"/>
        <v>2662</v>
      </c>
      <c r="BM47">
        <f t="shared" si="3"/>
        <v>1</v>
      </c>
      <c r="BQ47">
        <v>24181</v>
      </c>
      <c r="BR47">
        <v>0.58036870595257273</v>
      </c>
      <c r="BS47">
        <v>2662</v>
      </c>
      <c r="BT47">
        <v>-71.09375</v>
      </c>
      <c r="BU47">
        <v>71.470923999999997</v>
      </c>
      <c r="BV47">
        <v>1.4851048</v>
      </c>
    </row>
    <row r="48" spans="1:74" x14ac:dyDescent="0.2">
      <c r="A48" t="s">
        <v>139</v>
      </c>
      <c r="B48">
        <v>917</v>
      </c>
      <c r="C48">
        <v>42.354064999999999</v>
      </c>
      <c r="D48">
        <v>-71.161170999999996</v>
      </c>
      <c r="E48">
        <v>148.06</v>
      </c>
      <c r="F48">
        <v>1608</v>
      </c>
      <c r="G48">
        <v>26.698637000000002</v>
      </c>
      <c r="H48">
        <v>2.0099999999999998</v>
      </c>
      <c r="I48">
        <v>10</v>
      </c>
      <c r="J48" t="s">
        <v>140</v>
      </c>
      <c r="K48" t="s">
        <v>66</v>
      </c>
      <c r="L48">
        <v>0.94066941999999998</v>
      </c>
      <c r="M48">
        <v>0</v>
      </c>
      <c r="N48">
        <v>3015</v>
      </c>
      <c r="O48">
        <v>60.4</v>
      </c>
      <c r="P48">
        <v>54.6</v>
      </c>
      <c r="Q48">
        <v>5.8</v>
      </c>
      <c r="R48">
        <v>17.600000000000001</v>
      </c>
      <c r="S48">
        <v>2.5</v>
      </c>
      <c r="T48">
        <v>2.5</v>
      </c>
      <c r="U48">
        <v>2.1</v>
      </c>
      <c r="V48">
        <v>14.8</v>
      </c>
      <c r="W48">
        <v>2.4</v>
      </c>
      <c r="X48">
        <v>9.3000000000000007</v>
      </c>
      <c r="Y48">
        <v>12.3</v>
      </c>
      <c r="Z48">
        <v>10</v>
      </c>
      <c r="AA48">
        <v>4.4000000000000004</v>
      </c>
      <c r="AB48">
        <v>20.7</v>
      </c>
      <c r="AC48">
        <v>15.4</v>
      </c>
      <c r="AD48">
        <v>17.399999999999999</v>
      </c>
      <c r="AE48">
        <v>8</v>
      </c>
      <c r="AF48">
        <v>31.8</v>
      </c>
      <c r="AG48">
        <v>4332</v>
      </c>
      <c r="AH48">
        <v>281</v>
      </c>
      <c r="AI48">
        <v>151</v>
      </c>
      <c r="AJ48">
        <v>139</v>
      </c>
      <c r="AK48">
        <v>56</v>
      </c>
      <c r="AL48">
        <v>455</v>
      </c>
      <c r="AM48">
        <v>1181</v>
      </c>
      <c r="AN48">
        <v>604</v>
      </c>
      <c r="AO48">
        <v>350</v>
      </c>
      <c r="AP48">
        <v>328</v>
      </c>
      <c r="AQ48">
        <v>57</v>
      </c>
      <c r="AR48">
        <v>102</v>
      </c>
      <c r="AS48">
        <v>135</v>
      </c>
      <c r="AT48">
        <v>88</v>
      </c>
      <c r="AU48">
        <v>240</v>
      </c>
      <c r="AV48">
        <v>79</v>
      </c>
      <c r="AW48">
        <v>21</v>
      </c>
      <c r="AX48">
        <v>0</v>
      </c>
      <c r="AY48">
        <v>65</v>
      </c>
      <c r="AZ48">
        <v>29</v>
      </c>
      <c r="BA48">
        <v>102.1</v>
      </c>
      <c r="BB48">
        <v>4.8756671000000003</v>
      </c>
      <c r="BC48">
        <v>3.0563180000000001</v>
      </c>
      <c r="BD48">
        <v>1</v>
      </c>
      <c r="BE48">
        <v>0</v>
      </c>
      <c r="BF48">
        <v>0</v>
      </c>
      <c r="BG48">
        <v>4</v>
      </c>
      <c r="BH48">
        <v>0</v>
      </c>
      <c r="BI48">
        <v>2718.25</v>
      </c>
      <c r="BJ48">
        <f t="shared" si="0"/>
        <v>2.4281926138003573</v>
      </c>
      <c r="BK48" s="10">
        <f t="shared" si="1"/>
        <v>4.9087893864013269E-3</v>
      </c>
      <c r="BL48">
        <f t="shared" si="2"/>
        <v>511</v>
      </c>
      <c r="BM48">
        <f t="shared" si="3"/>
        <v>1</v>
      </c>
      <c r="BQ48">
        <v>917</v>
      </c>
      <c r="BR48">
        <v>2.4281926138003573</v>
      </c>
      <c r="BS48">
        <v>511</v>
      </c>
      <c r="BT48">
        <v>-71.161170999999996</v>
      </c>
      <c r="BU48">
        <v>26.698637000000002</v>
      </c>
      <c r="BV48">
        <v>4.8756671000000003</v>
      </c>
    </row>
    <row r="49" spans="1:74" x14ac:dyDescent="0.2">
      <c r="A49" t="s">
        <v>141</v>
      </c>
      <c r="B49">
        <v>9530</v>
      </c>
      <c r="C49">
        <v>42.298865999999997</v>
      </c>
      <c r="D49">
        <v>-71.111403999999993</v>
      </c>
      <c r="E49">
        <v>86.010002</v>
      </c>
      <c r="F49">
        <v>1160</v>
      </c>
      <c r="G49">
        <v>24.648295999999998</v>
      </c>
      <c r="H49">
        <v>1101.05</v>
      </c>
      <c r="I49">
        <v>10</v>
      </c>
      <c r="J49" t="s">
        <v>68</v>
      </c>
      <c r="K49" t="s">
        <v>69</v>
      </c>
      <c r="L49">
        <v>7.4176199999999998E-3</v>
      </c>
      <c r="M49">
        <v>1</v>
      </c>
      <c r="N49">
        <v>2058</v>
      </c>
      <c r="O49">
        <v>37.5</v>
      </c>
      <c r="P49">
        <v>34.9</v>
      </c>
      <c r="Q49">
        <v>2.5</v>
      </c>
      <c r="R49">
        <v>29.4</v>
      </c>
      <c r="S49">
        <v>2.5</v>
      </c>
      <c r="T49">
        <v>6.1</v>
      </c>
      <c r="U49">
        <v>0</v>
      </c>
      <c r="V49">
        <v>24.5</v>
      </c>
      <c r="W49">
        <v>3.9</v>
      </c>
      <c r="X49">
        <v>4.5999999999999996</v>
      </c>
      <c r="Y49">
        <v>14.2</v>
      </c>
      <c r="Z49">
        <v>1.9</v>
      </c>
      <c r="AA49">
        <v>5.3</v>
      </c>
      <c r="AB49">
        <v>19.600000000000001</v>
      </c>
      <c r="AC49">
        <v>15.4</v>
      </c>
      <c r="AD49">
        <v>17.100000000000001</v>
      </c>
      <c r="AE49">
        <v>17.899999999999999</v>
      </c>
      <c r="AF49">
        <v>35.799999999999997</v>
      </c>
      <c r="AG49">
        <v>2702</v>
      </c>
      <c r="AH49">
        <v>95</v>
      </c>
      <c r="AI49">
        <v>69</v>
      </c>
      <c r="AJ49">
        <v>78</v>
      </c>
      <c r="AK49">
        <v>27</v>
      </c>
      <c r="AL49">
        <v>199</v>
      </c>
      <c r="AM49">
        <v>461</v>
      </c>
      <c r="AN49">
        <v>430</v>
      </c>
      <c r="AO49">
        <v>210</v>
      </c>
      <c r="AP49">
        <v>328</v>
      </c>
      <c r="AQ49">
        <v>73</v>
      </c>
      <c r="AR49">
        <v>265</v>
      </c>
      <c r="AS49">
        <v>118</v>
      </c>
      <c r="AT49">
        <v>162</v>
      </c>
      <c r="AU49">
        <v>87</v>
      </c>
      <c r="AV49">
        <v>53</v>
      </c>
      <c r="AW49">
        <v>0</v>
      </c>
      <c r="AX49">
        <v>15</v>
      </c>
      <c r="AY49">
        <v>32</v>
      </c>
      <c r="AZ49">
        <v>33.9</v>
      </c>
      <c r="BA49">
        <v>78.599999999999994</v>
      </c>
      <c r="BB49">
        <v>4.5331444999999997</v>
      </c>
      <c r="BC49">
        <v>2.7104765999999998</v>
      </c>
      <c r="BD49">
        <v>1</v>
      </c>
      <c r="BE49">
        <v>0</v>
      </c>
      <c r="BF49">
        <v>0</v>
      </c>
      <c r="BG49">
        <v>2</v>
      </c>
      <c r="BH49">
        <v>0</v>
      </c>
      <c r="BI49">
        <v>1837</v>
      </c>
      <c r="BJ49">
        <f t="shared" si="0"/>
        <v>3.0737355287111097</v>
      </c>
      <c r="BK49" s="10">
        <f t="shared" si="1"/>
        <v>1.1904761904761904E-2</v>
      </c>
      <c r="BL49">
        <f t="shared" si="2"/>
        <v>226</v>
      </c>
      <c r="BM49">
        <f t="shared" si="3"/>
        <v>0</v>
      </c>
      <c r="BQ49">
        <v>9530</v>
      </c>
      <c r="BR49">
        <v>3.0737355287111097</v>
      </c>
      <c r="BS49">
        <v>226</v>
      </c>
      <c r="BT49">
        <v>-71.111403999999993</v>
      </c>
      <c r="BU49">
        <v>24.648295999999998</v>
      </c>
      <c r="BV49">
        <v>4.5331444999999997</v>
      </c>
    </row>
    <row r="50" spans="1:74" x14ac:dyDescent="0.2">
      <c r="A50" t="s">
        <v>142</v>
      </c>
      <c r="B50">
        <v>31685</v>
      </c>
      <c r="C50">
        <v>42.339866999999998</v>
      </c>
      <c r="D50">
        <v>-71.089600000000004</v>
      </c>
      <c r="E50">
        <v>90.160004000000001</v>
      </c>
      <c r="F50">
        <v>1005</v>
      </c>
      <c r="G50">
        <v>76.009315000000001</v>
      </c>
      <c r="H50">
        <v>104.05</v>
      </c>
      <c r="I50">
        <v>10</v>
      </c>
      <c r="J50" t="s">
        <v>143</v>
      </c>
      <c r="K50" t="s">
        <v>94</v>
      </c>
      <c r="L50">
        <v>1.8086809999999998E-2</v>
      </c>
      <c r="M50">
        <v>1</v>
      </c>
      <c r="N50">
        <v>2300</v>
      </c>
      <c r="O50">
        <v>12.7</v>
      </c>
      <c r="P50">
        <v>9.9</v>
      </c>
      <c r="Q50">
        <v>2.8</v>
      </c>
      <c r="R50">
        <v>21.8</v>
      </c>
      <c r="S50">
        <v>46</v>
      </c>
      <c r="T50">
        <v>3.1</v>
      </c>
      <c r="U50">
        <v>0.9</v>
      </c>
      <c r="V50">
        <v>15.4</v>
      </c>
      <c r="W50">
        <v>27</v>
      </c>
      <c r="X50">
        <v>11.8</v>
      </c>
      <c r="Y50">
        <v>14.8</v>
      </c>
      <c r="Z50">
        <v>12.7</v>
      </c>
      <c r="AA50">
        <v>5.2</v>
      </c>
      <c r="AB50">
        <v>11.9</v>
      </c>
      <c r="AC50">
        <v>4.9000000000000004</v>
      </c>
      <c r="AD50">
        <v>5.9</v>
      </c>
      <c r="AE50">
        <v>5.7</v>
      </c>
      <c r="AF50">
        <v>20.8</v>
      </c>
      <c r="AG50">
        <v>6372</v>
      </c>
      <c r="AH50">
        <v>121</v>
      </c>
      <c r="AI50">
        <v>81</v>
      </c>
      <c r="AJ50">
        <v>43</v>
      </c>
      <c r="AK50">
        <v>2800</v>
      </c>
      <c r="AL50">
        <v>2046</v>
      </c>
      <c r="AM50">
        <v>142</v>
      </c>
      <c r="AN50">
        <v>197</v>
      </c>
      <c r="AO50">
        <v>41</v>
      </c>
      <c r="AP50">
        <v>113</v>
      </c>
      <c r="AQ50">
        <v>84</v>
      </c>
      <c r="AR50">
        <v>69</v>
      </c>
      <c r="AS50">
        <v>88</v>
      </c>
      <c r="AT50">
        <v>175</v>
      </c>
      <c r="AU50">
        <v>109</v>
      </c>
      <c r="AV50">
        <v>90</v>
      </c>
      <c r="AW50">
        <v>49</v>
      </c>
      <c r="AX50">
        <v>74</v>
      </c>
      <c r="AY50">
        <v>50</v>
      </c>
      <c r="AZ50">
        <v>20.100000000000001</v>
      </c>
      <c r="BA50">
        <v>64.400000000000006</v>
      </c>
      <c r="BB50">
        <v>1.6117721</v>
      </c>
      <c r="BC50">
        <v>0.82357776000000005</v>
      </c>
      <c r="BD50">
        <v>1</v>
      </c>
      <c r="BE50">
        <v>0</v>
      </c>
      <c r="BF50">
        <v>3</v>
      </c>
      <c r="BG50">
        <v>18</v>
      </c>
      <c r="BH50">
        <v>8301.6669999999995</v>
      </c>
      <c r="BI50">
        <v>10731.61</v>
      </c>
      <c r="BJ50">
        <f t="shared" si="0"/>
        <v>0.97305329274730812</v>
      </c>
      <c r="BK50" s="10">
        <f t="shared" si="1"/>
        <v>6.6956521739130435E-3</v>
      </c>
      <c r="BL50">
        <f t="shared" si="2"/>
        <v>4846</v>
      </c>
      <c r="BM50">
        <f t="shared" si="3"/>
        <v>1</v>
      </c>
      <c r="BQ50">
        <v>31685</v>
      </c>
      <c r="BR50">
        <v>0.97305329274730812</v>
      </c>
      <c r="BS50">
        <v>4846</v>
      </c>
      <c r="BT50">
        <v>-71.089600000000004</v>
      </c>
      <c r="BU50">
        <v>76.009315000000001</v>
      </c>
      <c r="BV50">
        <v>1.6117721</v>
      </c>
    </row>
    <row r="51" spans="1:74" x14ac:dyDescent="0.2">
      <c r="A51" t="s">
        <v>144</v>
      </c>
      <c r="B51">
        <v>1802</v>
      </c>
      <c r="C51">
        <v>42.309448000000003</v>
      </c>
      <c r="D51">
        <v>-71.087226999999999</v>
      </c>
      <c r="E51">
        <v>91.57</v>
      </c>
      <c r="F51">
        <v>2150</v>
      </c>
      <c r="G51">
        <v>57.049252000000003</v>
      </c>
      <c r="H51">
        <v>821</v>
      </c>
      <c r="I51">
        <v>10</v>
      </c>
      <c r="J51" t="s">
        <v>111</v>
      </c>
      <c r="K51" t="s">
        <v>69</v>
      </c>
      <c r="L51">
        <v>0.79446059000000002</v>
      </c>
      <c r="M51">
        <v>0</v>
      </c>
      <c r="N51">
        <v>1472</v>
      </c>
      <c r="O51">
        <v>35.200000000000003</v>
      </c>
      <c r="P51">
        <v>32.200000000000003</v>
      </c>
      <c r="Q51">
        <v>3</v>
      </c>
      <c r="R51">
        <v>43.1</v>
      </c>
      <c r="S51">
        <v>4.4000000000000004</v>
      </c>
      <c r="T51">
        <v>6.8</v>
      </c>
      <c r="U51">
        <v>1.6</v>
      </c>
      <c r="V51">
        <v>9</v>
      </c>
      <c r="W51">
        <v>5.9</v>
      </c>
      <c r="X51">
        <v>1.4</v>
      </c>
      <c r="Y51">
        <v>6.6</v>
      </c>
      <c r="Z51">
        <v>12.1</v>
      </c>
      <c r="AA51">
        <v>2.2000000000000002</v>
      </c>
      <c r="AB51">
        <v>21.2</v>
      </c>
      <c r="AC51">
        <v>5.0999999999999996</v>
      </c>
      <c r="AD51">
        <v>29.9</v>
      </c>
      <c r="AE51">
        <v>15.5</v>
      </c>
      <c r="AF51">
        <v>41.8</v>
      </c>
      <c r="AG51">
        <v>4052</v>
      </c>
      <c r="AH51">
        <v>426</v>
      </c>
      <c r="AI51">
        <v>150</v>
      </c>
      <c r="AJ51">
        <v>158</v>
      </c>
      <c r="AK51">
        <v>331</v>
      </c>
      <c r="AL51">
        <v>315</v>
      </c>
      <c r="AM51">
        <v>27</v>
      </c>
      <c r="AN51">
        <v>269</v>
      </c>
      <c r="AO51">
        <v>255</v>
      </c>
      <c r="AP51">
        <v>339</v>
      </c>
      <c r="AQ51">
        <v>233</v>
      </c>
      <c r="AR51">
        <v>178</v>
      </c>
      <c r="AS51">
        <v>83</v>
      </c>
      <c r="AT51">
        <v>436</v>
      </c>
      <c r="AU51">
        <v>444</v>
      </c>
      <c r="AV51">
        <v>238</v>
      </c>
      <c r="AW51">
        <v>79</v>
      </c>
      <c r="AX51">
        <v>36</v>
      </c>
      <c r="AY51">
        <v>55</v>
      </c>
      <c r="AZ51">
        <v>40.6</v>
      </c>
      <c r="BA51">
        <v>43</v>
      </c>
      <c r="BB51">
        <v>3.3405607000000002</v>
      </c>
      <c r="BC51">
        <v>2.1729462000000002</v>
      </c>
      <c r="BD51">
        <v>1</v>
      </c>
      <c r="BE51">
        <v>0</v>
      </c>
      <c r="BF51">
        <v>0</v>
      </c>
      <c r="BG51">
        <v>2</v>
      </c>
      <c r="BH51">
        <v>0</v>
      </c>
      <c r="BI51">
        <v>2559.5</v>
      </c>
      <c r="BJ51">
        <f t="shared" si="0"/>
        <v>2.5817745182738721</v>
      </c>
      <c r="BK51" s="10">
        <f t="shared" si="1"/>
        <v>6.114130434782609E-3</v>
      </c>
      <c r="BL51">
        <f t="shared" si="2"/>
        <v>646</v>
      </c>
      <c r="BM51">
        <f t="shared" si="3"/>
        <v>0</v>
      </c>
      <c r="BQ51">
        <v>1802</v>
      </c>
      <c r="BR51">
        <v>2.5817745182738721</v>
      </c>
      <c r="BS51">
        <v>646</v>
      </c>
      <c r="BT51">
        <v>-71.087226999999999</v>
      </c>
      <c r="BU51">
        <v>57.049252000000003</v>
      </c>
      <c r="BV51">
        <v>3.3405607000000002</v>
      </c>
    </row>
    <row r="52" spans="1:74" x14ac:dyDescent="0.2">
      <c r="A52" t="s">
        <v>145</v>
      </c>
      <c r="B52">
        <v>2627</v>
      </c>
      <c r="C52">
        <v>42.353991999999998</v>
      </c>
      <c r="D52">
        <v>-71.127883999999995</v>
      </c>
      <c r="E52">
        <v>91.389999000000003</v>
      </c>
      <c r="F52">
        <v>1956</v>
      </c>
      <c r="G52">
        <v>50.508808000000002</v>
      </c>
      <c r="H52">
        <v>8.0500000000000007</v>
      </c>
      <c r="I52">
        <v>10</v>
      </c>
      <c r="J52" t="s">
        <v>96</v>
      </c>
      <c r="K52" t="s">
        <v>66</v>
      </c>
      <c r="L52">
        <v>0.24599792000000001</v>
      </c>
      <c r="M52">
        <v>1</v>
      </c>
      <c r="N52">
        <v>1867</v>
      </c>
      <c r="O52">
        <v>18.5</v>
      </c>
      <c r="P52">
        <v>14.6</v>
      </c>
      <c r="Q52">
        <v>3.9</v>
      </c>
      <c r="R52">
        <v>29.3</v>
      </c>
      <c r="S52">
        <v>18.3</v>
      </c>
      <c r="T52">
        <v>5.7</v>
      </c>
      <c r="U52">
        <v>1.8</v>
      </c>
      <c r="V52">
        <v>26.4</v>
      </c>
      <c r="W52">
        <v>8.6</v>
      </c>
      <c r="X52">
        <v>8.6999999999999993</v>
      </c>
      <c r="Y52">
        <v>8.6999999999999993</v>
      </c>
      <c r="Z52">
        <v>9.3000000000000007</v>
      </c>
      <c r="AA52">
        <v>7.1</v>
      </c>
      <c r="AB52">
        <v>13</v>
      </c>
      <c r="AC52">
        <v>24.2</v>
      </c>
      <c r="AD52">
        <v>7.6</v>
      </c>
      <c r="AE52">
        <v>12.9</v>
      </c>
      <c r="AF52">
        <v>32.5</v>
      </c>
      <c r="AG52">
        <v>3123</v>
      </c>
      <c r="AH52">
        <v>121</v>
      </c>
      <c r="AI52">
        <v>50</v>
      </c>
      <c r="AJ52">
        <v>0</v>
      </c>
      <c r="AK52">
        <v>346</v>
      </c>
      <c r="AL52">
        <v>907</v>
      </c>
      <c r="AM52">
        <v>882</v>
      </c>
      <c r="AN52">
        <v>387</v>
      </c>
      <c r="AO52">
        <v>67</v>
      </c>
      <c r="AP52">
        <v>80</v>
      </c>
      <c r="AQ52">
        <v>0</v>
      </c>
      <c r="AR52">
        <v>59</v>
      </c>
      <c r="AS52">
        <v>15</v>
      </c>
      <c r="AT52">
        <v>64</v>
      </c>
      <c r="AU52">
        <v>20</v>
      </c>
      <c r="AV52">
        <v>25</v>
      </c>
      <c r="AW52">
        <v>0</v>
      </c>
      <c r="AX52">
        <v>0</v>
      </c>
      <c r="AY52">
        <v>100</v>
      </c>
      <c r="AZ52">
        <v>25.6</v>
      </c>
      <c r="BA52">
        <v>106.4</v>
      </c>
      <c r="BB52">
        <v>3.1763488999999998</v>
      </c>
      <c r="BC52">
        <v>1.5975187</v>
      </c>
      <c r="BD52">
        <v>1</v>
      </c>
      <c r="BE52">
        <v>0</v>
      </c>
      <c r="BF52">
        <v>2</v>
      </c>
      <c r="BG52">
        <v>14</v>
      </c>
      <c r="BH52">
        <v>6858.5</v>
      </c>
      <c r="BI52">
        <v>7221.4290000000001</v>
      </c>
      <c r="BJ52">
        <f t="shared" si="0"/>
        <v>0.96847485894726393</v>
      </c>
      <c r="BK52" s="10">
        <f t="shared" si="1"/>
        <v>1.4140332083556507E-2</v>
      </c>
      <c r="BL52">
        <f t="shared" si="2"/>
        <v>1253</v>
      </c>
      <c r="BM52">
        <f t="shared" si="3"/>
        <v>1</v>
      </c>
      <c r="BQ52">
        <v>2627</v>
      </c>
      <c r="BR52">
        <v>0.96847485894726393</v>
      </c>
      <c r="BS52">
        <v>1253</v>
      </c>
      <c r="BT52">
        <v>-71.127883999999995</v>
      </c>
      <c r="BU52">
        <v>50.508808000000002</v>
      </c>
      <c r="BV52">
        <v>3.1763488999999998</v>
      </c>
    </row>
    <row r="53" spans="1:74" x14ac:dyDescent="0.2">
      <c r="A53" t="s">
        <v>146</v>
      </c>
      <c r="B53">
        <v>7566</v>
      </c>
      <c r="C53">
        <v>42.312691000000001</v>
      </c>
      <c r="D53">
        <v>-71.101944000000003</v>
      </c>
      <c r="E53">
        <v>162.49001000000001</v>
      </c>
      <c r="F53">
        <v>2093</v>
      </c>
      <c r="G53">
        <v>31.509630000000001</v>
      </c>
      <c r="H53">
        <v>1203.01</v>
      </c>
      <c r="I53">
        <v>10</v>
      </c>
      <c r="J53" t="s">
        <v>111</v>
      </c>
      <c r="K53" t="s">
        <v>69</v>
      </c>
      <c r="L53">
        <v>3.0501460000000001E-2</v>
      </c>
      <c r="M53">
        <v>1</v>
      </c>
      <c r="N53">
        <v>3324</v>
      </c>
      <c r="O53">
        <v>35.299999999999997</v>
      </c>
      <c r="P53">
        <v>34.4</v>
      </c>
      <c r="Q53">
        <v>0.9</v>
      </c>
      <c r="R53">
        <v>29.2</v>
      </c>
      <c r="S53">
        <v>7.3</v>
      </c>
      <c r="T53">
        <v>6.5</v>
      </c>
      <c r="U53">
        <v>0</v>
      </c>
      <c r="V53">
        <v>21.6</v>
      </c>
      <c r="W53">
        <v>10.6</v>
      </c>
      <c r="X53">
        <v>11.7</v>
      </c>
      <c r="Y53">
        <v>5.9</v>
      </c>
      <c r="Z53">
        <v>9.1999999999999993</v>
      </c>
      <c r="AA53">
        <v>4.9000000000000004</v>
      </c>
      <c r="AB53">
        <v>22.6</v>
      </c>
      <c r="AC53">
        <v>12.2</v>
      </c>
      <c r="AD53">
        <v>14.1</v>
      </c>
      <c r="AE53">
        <v>8.6999999999999993</v>
      </c>
      <c r="AF53">
        <v>29.6</v>
      </c>
      <c r="AG53">
        <v>5044</v>
      </c>
      <c r="AH53">
        <v>241</v>
      </c>
      <c r="AI53">
        <v>218</v>
      </c>
      <c r="AJ53">
        <v>138</v>
      </c>
      <c r="AK53">
        <v>180</v>
      </c>
      <c r="AL53">
        <v>325</v>
      </c>
      <c r="AM53">
        <v>913</v>
      </c>
      <c r="AN53">
        <v>750</v>
      </c>
      <c r="AO53">
        <v>413</v>
      </c>
      <c r="AP53">
        <v>284</v>
      </c>
      <c r="AQ53">
        <v>265</v>
      </c>
      <c r="AR53">
        <v>411</v>
      </c>
      <c r="AS53">
        <v>123</v>
      </c>
      <c r="AT53">
        <v>268</v>
      </c>
      <c r="AU53">
        <v>234</v>
      </c>
      <c r="AV53">
        <v>153</v>
      </c>
      <c r="AW53">
        <v>65</v>
      </c>
      <c r="AX53">
        <v>44</v>
      </c>
      <c r="AY53">
        <v>19</v>
      </c>
      <c r="AZ53">
        <v>32.9</v>
      </c>
      <c r="BA53">
        <v>93.3</v>
      </c>
      <c r="BB53">
        <v>3.4662050999999998</v>
      </c>
      <c r="BC53">
        <v>1.7477742000000001</v>
      </c>
      <c r="BD53">
        <v>1</v>
      </c>
      <c r="BE53">
        <v>0</v>
      </c>
      <c r="BF53">
        <v>0</v>
      </c>
      <c r="BG53">
        <v>4</v>
      </c>
      <c r="BH53">
        <v>0</v>
      </c>
      <c r="BI53">
        <v>6056</v>
      </c>
      <c r="BJ53">
        <f t="shared" si="0"/>
        <v>2.2463215646772756</v>
      </c>
      <c r="BK53" s="10">
        <f t="shared" si="1"/>
        <v>6.4981949458483759E-3</v>
      </c>
      <c r="BL53">
        <f t="shared" si="2"/>
        <v>505</v>
      </c>
      <c r="BM53">
        <f t="shared" si="3"/>
        <v>0</v>
      </c>
      <c r="BQ53">
        <v>7566</v>
      </c>
      <c r="BR53">
        <v>2.2463215646772756</v>
      </c>
      <c r="BS53">
        <v>505</v>
      </c>
      <c r="BT53">
        <v>-71.101944000000003</v>
      </c>
      <c r="BU53">
        <v>31.509630000000001</v>
      </c>
      <c r="BV53">
        <v>3.4662050999999998</v>
      </c>
    </row>
    <row r="54" spans="1:74" x14ac:dyDescent="0.2">
      <c r="A54" t="s">
        <v>147</v>
      </c>
      <c r="B54">
        <v>16383</v>
      </c>
      <c r="C54">
        <v>42.339419999999997</v>
      </c>
      <c r="D54">
        <v>-71.101821999999999</v>
      </c>
      <c r="E54">
        <v>125.33</v>
      </c>
      <c r="F54">
        <v>366</v>
      </c>
      <c r="G54">
        <v>41.378760999999997</v>
      </c>
      <c r="H54">
        <v>103</v>
      </c>
      <c r="I54">
        <v>10</v>
      </c>
      <c r="J54" t="s">
        <v>93</v>
      </c>
      <c r="K54" t="s">
        <v>94</v>
      </c>
      <c r="L54">
        <v>0.17634553</v>
      </c>
      <c r="M54">
        <v>2</v>
      </c>
      <c r="N54">
        <v>2288</v>
      </c>
      <c r="O54">
        <v>10.5</v>
      </c>
      <c r="P54">
        <v>8.8000000000000007</v>
      </c>
      <c r="Q54">
        <v>1.7</v>
      </c>
      <c r="R54">
        <v>13.5</v>
      </c>
      <c r="S54">
        <v>63.4</v>
      </c>
      <c r="T54">
        <v>1.3</v>
      </c>
      <c r="U54">
        <v>0.7</v>
      </c>
      <c r="V54">
        <v>10.5</v>
      </c>
      <c r="W54">
        <v>38.799999999999997</v>
      </c>
      <c r="X54">
        <v>16.5</v>
      </c>
      <c r="Y54">
        <v>13.5</v>
      </c>
      <c r="Z54">
        <v>11.5</v>
      </c>
      <c r="AA54">
        <v>3.3</v>
      </c>
      <c r="AB54">
        <v>8.4</v>
      </c>
      <c r="AC54">
        <v>3</v>
      </c>
      <c r="AD54">
        <v>1.7</v>
      </c>
      <c r="AE54">
        <v>3.5</v>
      </c>
      <c r="AF54">
        <v>16.100000000000001</v>
      </c>
      <c r="AG54">
        <v>5099</v>
      </c>
      <c r="AH54">
        <v>100</v>
      </c>
      <c r="AI54">
        <v>0</v>
      </c>
      <c r="AJ54">
        <v>6</v>
      </c>
      <c r="AK54">
        <v>2484</v>
      </c>
      <c r="AL54">
        <v>2081</v>
      </c>
      <c r="AM54">
        <v>159</v>
      </c>
      <c r="AN54">
        <v>101</v>
      </c>
      <c r="AO54">
        <v>52</v>
      </c>
      <c r="AP54">
        <v>10</v>
      </c>
      <c r="AQ54">
        <v>11</v>
      </c>
      <c r="AR54">
        <v>16</v>
      </c>
      <c r="AS54">
        <v>10</v>
      </c>
      <c r="AT54">
        <v>33</v>
      </c>
      <c r="AU54">
        <v>5</v>
      </c>
      <c r="AV54">
        <v>18</v>
      </c>
      <c r="AW54">
        <v>0</v>
      </c>
      <c r="AX54">
        <v>0</v>
      </c>
      <c r="AY54">
        <v>13</v>
      </c>
      <c r="AZ54">
        <v>20</v>
      </c>
      <c r="BA54">
        <v>62.1</v>
      </c>
      <c r="BB54">
        <v>2.1394180999999999</v>
      </c>
      <c r="BC54">
        <v>0.21662097</v>
      </c>
      <c r="BD54">
        <v>1</v>
      </c>
      <c r="BE54">
        <v>0</v>
      </c>
      <c r="BF54">
        <v>6</v>
      </c>
      <c r="BG54">
        <v>14</v>
      </c>
      <c r="BH54">
        <v>10132.33</v>
      </c>
      <c r="BI54">
        <v>9769.9290000000001</v>
      </c>
      <c r="BJ54">
        <f t="shared" si="0"/>
        <v>0.66705080896030267</v>
      </c>
      <c r="BK54" s="10">
        <f t="shared" si="1"/>
        <v>4.589160839160839E-3</v>
      </c>
      <c r="BL54">
        <f t="shared" si="2"/>
        <v>4565</v>
      </c>
      <c r="BM54">
        <f t="shared" si="3"/>
        <v>1</v>
      </c>
      <c r="BQ54">
        <v>16383</v>
      </c>
      <c r="BR54">
        <v>0.66705080896030267</v>
      </c>
      <c r="BS54">
        <v>4565</v>
      </c>
      <c r="BT54">
        <v>-71.101821999999999</v>
      </c>
      <c r="BU54">
        <v>41.378760999999997</v>
      </c>
      <c r="BV54">
        <v>2.1394180999999999</v>
      </c>
    </row>
    <row r="55" spans="1:74" x14ac:dyDescent="0.2">
      <c r="A55" t="s">
        <v>148</v>
      </c>
      <c r="B55">
        <v>13349</v>
      </c>
      <c r="C55">
        <v>42.351329999999997</v>
      </c>
      <c r="D55">
        <v>-71.128219999999999</v>
      </c>
      <c r="E55">
        <v>43.98</v>
      </c>
      <c r="F55">
        <v>1375</v>
      </c>
      <c r="G55">
        <v>55.525238000000002</v>
      </c>
      <c r="H55">
        <v>7.03</v>
      </c>
      <c r="I55">
        <v>10</v>
      </c>
      <c r="J55" t="s">
        <v>96</v>
      </c>
      <c r="K55" t="s">
        <v>66</v>
      </c>
      <c r="L55">
        <v>5.5439809999999999E-2</v>
      </c>
      <c r="M55">
        <v>2</v>
      </c>
      <c r="N55">
        <v>1208</v>
      </c>
      <c r="O55">
        <v>9.4</v>
      </c>
      <c r="P55">
        <v>8.9</v>
      </c>
      <c r="Q55">
        <v>0.5</v>
      </c>
      <c r="R55">
        <v>44.9</v>
      </c>
      <c r="S55">
        <v>23.1</v>
      </c>
      <c r="T55">
        <v>5.2</v>
      </c>
      <c r="U55">
        <v>0.9</v>
      </c>
      <c r="V55">
        <v>16.5</v>
      </c>
      <c r="W55">
        <v>4.4000000000000004</v>
      </c>
      <c r="X55">
        <v>3.6</v>
      </c>
      <c r="Y55">
        <v>10.8</v>
      </c>
      <c r="Z55">
        <v>15.7</v>
      </c>
      <c r="AA55">
        <v>5.5</v>
      </c>
      <c r="AB55">
        <v>19.7</v>
      </c>
      <c r="AC55">
        <v>17.2</v>
      </c>
      <c r="AD55">
        <v>21.2</v>
      </c>
      <c r="AE55">
        <v>2</v>
      </c>
      <c r="AF55">
        <v>31</v>
      </c>
      <c r="AG55">
        <v>1724</v>
      </c>
      <c r="AH55">
        <v>0</v>
      </c>
      <c r="AI55">
        <v>0</v>
      </c>
      <c r="AJ55">
        <v>0</v>
      </c>
      <c r="AK55">
        <v>14</v>
      </c>
      <c r="AL55">
        <v>684</v>
      </c>
      <c r="AM55">
        <v>526</v>
      </c>
      <c r="AN55">
        <v>295</v>
      </c>
      <c r="AO55">
        <v>51</v>
      </c>
      <c r="AP55">
        <v>8</v>
      </c>
      <c r="AQ55">
        <v>27</v>
      </c>
      <c r="AR55">
        <v>23</v>
      </c>
      <c r="AS55">
        <v>44</v>
      </c>
      <c r="AT55">
        <v>41</v>
      </c>
      <c r="AU55">
        <v>0</v>
      </c>
      <c r="AV55">
        <v>9</v>
      </c>
      <c r="AW55">
        <v>0</v>
      </c>
      <c r="AX55">
        <v>0</v>
      </c>
      <c r="AY55">
        <v>2</v>
      </c>
      <c r="AZ55">
        <v>26.7</v>
      </c>
      <c r="BA55">
        <v>145.19999999999999</v>
      </c>
      <c r="BB55">
        <v>3.2032417999999998</v>
      </c>
      <c r="BC55">
        <v>1.4882911000000001</v>
      </c>
      <c r="BD55">
        <v>1</v>
      </c>
      <c r="BE55">
        <v>0</v>
      </c>
      <c r="BF55">
        <v>3</v>
      </c>
      <c r="BG55">
        <v>14</v>
      </c>
      <c r="BH55">
        <v>10060.33</v>
      </c>
      <c r="BI55">
        <v>7352.5709999999999</v>
      </c>
      <c r="BJ55">
        <f t="shared" si="0"/>
        <v>0.95543777321744228</v>
      </c>
      <c r="BK55" s="10">
        <f t="shared" si="1"/>
        <v>1.3658940397350994E-2</v>
      </c>
      <c r="BL55">
        <f t="shared" si="2"/>
        <v>698</v>
      </c>
      <c r="BM55">
        <f t="shared" si="3"/>
        <v>1</v>
      </c>
      <c r="BQ55">
        <v>13349</v>
      </c>
      <c r="BR55">
        <v>0.95543777321744228</v>
      </c>
      <c r="BS55">
        <v>698</v>
      </c>
      <c r="BT55">
        <v>-71.128219999999999</v>
      </c>
      <c r="BU55">
        <v>55.525238000000002</v>
      </c>
      <c r="BV55">
        <v>3.2032417999999998</v>
      </c>
    </row>
    <row r="56" spans="1:74" x14ac:dyDescent="0.2">
      <c r="A56" t="s">
        <v>149</v>
      </c>
      <c r="B56">
        <v>10822</v>
      </c>
      <c r="C56">
        <v>42.342522000000002</v>
      </c>
      <c r="D56">
        <v>-71.128119999999996</v>
      </c>
      <c r="E56">
        <v>81.699996999999996</v>
      </c>
      <c r="F56">
        <v>2169</v>
      </c>
      <c r="G56">
        <v>47.613219999999998</v>
      </c>
      <c r="H56">
        <v>4004.01</v>
      </c>
      <c r="I56">
        <v>4</v>
      </c>
      <c r="J56" t="s">
        <v>134</v>
      </c>
      <c r="K56" t="s">
        <v>63</v>
      </c>
      <c r="L56">
        <v>0.25456598000000003</v>
      </c>
      <c r="M56">
        <v>0</v>
      </c>
      <c r="N56">
        <v>2357</v>
      </c>
      <c r="O56">
        <v>23.9</v>
      </c>
      <c r="P56">
        <v>23.6</v>
      </c>
      <c r="Q56">
        <v>0.3</v>
      </c>
      <c r="R56">
        <v>31.7</v>
      </c>
      <c r="S56">
        <v>10.1</v>
      </c>
      <c r="T56">
        <v>4.8</v>
      </c>
      <c r="U56">
        <v>5</v>
      </c>
      <c r="V56">
        <v>24.4</v>
      </c>
      <c r="W56">
        <v>2.4E-2</v>
      </c>
      <c r="X56">
        <v>3.3000000000000002E-2</v>
      </c>
      <c r="Y56">
        <v>3.9E-2</v>
      </c>
      <c r="Z56">
        <v>0.13200000000000001</v>
      </c>
      <c r="AA56">
        <v>0.122</v>
      </c>
      <c r="AB56">
        <v>0.21099999999999999</v>
      </c>
      <c r="AC56">
        <v>0.13600000000000001</v>
      </c>
      <c r="AD56">
        <v>0.182</v>
      </c>
      <c r="AE56">
        <v>0.12</v>
      </c>
      <c r="AF56">
        <v>37.6</v>
      </c>
      <c r="AG56">
        <v>3945</v>
      </c>
      <c r="AH56">
        <v>142</v>
      </c>
      <c r="AI56">
        <v>80</v>
      </c>
      <c r="AJ56">
        <v>38</v>
      </c>
      <c r="AK56">
        <v>127</v>
      </c>
      <c r="AL56">
        <v>514</v>
      </c>
      <c r="AM56">
        <v>599</v>
      </c>
      <c r="AN56">
        <v>520</v>
      </c>
      <c r="AO56">
        <v>223</v>
      </c>
      <c r="AP56">
        <v>120</v>
      </c>
      <c r="AQ56">
        <v>54</v>
      </c>
      <c r="AR56">
        <v>144</v>
      </c>
      <c r="AS56">
        <v>187</v>
      </c>
      <c r="AT56">
        <v>366</v>
      </c>
      <c r="AU56">
        <v>118</v>
      </c>
      <c r="AV56">
        <v>263</v>
      </c>
      <c r="AW56">
        <v>68</v>
      </c>
      <c r="AX56">
        <v>288</v>
      </c>
      <c r="AY56">
        <v>94</v>
      </c>
      <c r="AZ56">
        <v>34.6</v>
      </c>
      <c r="BA56">
        <v>76.400000000000006</v>
      </c>
      <c r="BB56">
        <v>3.3041317000000001</v>
      </c>
      <c r="BC56">
        <v>1.2000024</v>
      </c>
      <c r="BD56">
        <v>0</v>
      </c>
      <c r="BE56">
        <v>0</v>
      </c>
      <c r="BF56">
        <v>2</v>
      </c>
      <c r="BG56">
        <v>4</v>
      </c>
      <c r="BH56">
        <v>10517.5</v>
      </c>
      <c r="BI56">
        <v>12026</v>
      </c>
      <c r="BJ56">
        <f t="shared" si="0"/>
        <v>1.0455603064306738</v>
      </c>
      <c r="BK56" s="10">
        <f t="shared" si="1"/>
        <v>1.0352142554094187E-2</v>
      </c>
      <c r="BL56">
        <f t="shared" si="2"/>
        <v>641</v>
      </c>
      <c r="BM56">
        <f t="shared" si="3"/>
        <v>1</v>
      </c>
      <c r="BQ56">
        <v>10822</v>
      </c>
      <c r="BR56">
        <v>1.0455603064306738</v>
      </c>
      <c r="BS56">
        <v>641</v>
      </c>
      <c r="BT56">
        <v>-71.128119999999996</v>
      </c>
      <c r="BU56">
        <v>47.613219999999998</v>
      </c>
      <c r="BV56">
        <v>3.3041317000000001</v>
      </c>
    </row>
    <row r="57" spans="1:74" x14ac:dyDescent="0.2">
      <c r="A57" t="s">
        <v>150</v>
      </c>
      <c r="B57">
        <v>11730</v>
      </c>
      <c r="C57">
        <v>42.363678</v>
      </c>
      <c r="D57">
        <v>-71.126480000000001</v>
      </c>
      <c r="E57">
        <v>350.17000999999999</v>
      </c>
      <c r="F57">
        <v>1055</v>
      </c>
      <c r="G57">
        <v>5.6315502999999998</v>
      </c>
      <c r="H57">
        <v>8.06</v>
      </c>
      <c r="I57">
        <v>10</v>
      </c>
      <c r="J57" t="s">
        <v>65</v>
      </c>
      <c r="K57" t="s">
        <v>66</v>
      </c>
      <c r="L57">
        <v>1.1122755</v>
      </c>
      <c r="M57">
        <v>0</v>
      </c>
      <c r="N57">
        <v>888</v>
      </c>
      <c r="O57">
        <v>30.6</v>
      </c>
      <c r="P57">
        <v>30.6</v>
      </c>
      <c r="Q57">
        <v>0</v>
      </c>
      <c r="R57">
        <v>10.5</v>
      </c>
      <c r="S57">
        <v>32.799999999999997</v>
      </c>
      <c r="T57">
        <v>2.6</v>
      </c>
      <c r="U57">
        <v>0.8</v>
      </c>
      <c r="V57">
        <v>22.7</v>
      </c>
      <c r="W57">
        <v>24.5</v>
      </c>
      <c r="X57">
        <v>15.3</v>
      </c>
      <c r="Y57">
        <v>18.399999999999999</v>
      </c>
      <c r="Z57">
        <v>10.6</v>
      </c>
      <c r="AA57">
        <v>10.9</v>
      </c>
      <c r="AB57">
        <v>9.6</v>
      </c>
      <c r="AC57">
        <v>2.2999999999999998</v>
      </c>
      <c r="AD57">
        <v>6.1</v>
      </c>
      <c r="AE57">
        <v>2.2000000000000002</v>
      </c>
      <c r="AF57">
        <v>18.8</v>
      </c>
      <c r="AG57">
        <v>2273</v>
      </c>
      <c r="AH57">
        <v>96</v>
      </c>
      <c r="AI57">
        <v>46</v>
      </c>
      <c r="AJ57">
        <v>0</v>
      </c>
      <c r="AK57">
        <v>405</v>
      </c>
      <c r="AL57">
        <v>510</v>
      </c>
      <c r="AM57">
        <v>640</v>
      </c>
      <c r="AN57">
        <v>426</v>
      </c>
      <c r="AO57">
        <v>85</v>
      </c>
      <c r="AP57">
        <v>0</v>
      </c>
      <c r="AQ57">
        <v>47</v>
      </c>
      <c r="AR57">
        <v>0</v>
      </c>
      <c r="AS57">
        <v>0</v>
      </c>
      <c r="AT57">
        <v>0</v>
      </c>
      <c r="AU57">
        <v>18</v>
      </c>
      <c r="AV57">
        <v>0</v>
      </c>
      <c r="AW57">
        <v>0</v>
      </c>
      <c r="AX57">
        <v>0</v>
      </c>
      <c r="AY57">
        <v>0</v>
      </c>
      <c r="AZ57">
        <v>26.3</v>
      </c>
      <c r="BA57">
        <v>86.2</v>
      </c>
      <c r="BB57">
        <v>3.1596172</v>
      </c>
      <c r="BC57">
        <v>2.0818346000000001</v>
      </c>
      <c r="BD57">
        <v>1</v>
      </c>
      <c r="BE57">
        <v>0</v>
      </c>
      <c r="BF57">
        <v>1</v>
      </c>
      <c r="BG57">
        <v>10</v>
      </c>
      <c r="BH57">
        <v>4066</v>
      </c>
      <c r="BI57">
        <v>17708</v>
      </c>
      <c r="BJ57">
        <f t="shared" si="0"/>
        <v>1.2045524813601851</v>
      </c>
      <c r="BK57" s="10">
        <f t="shared" si="1"/>
        <v>2.5563063063063062E-2</v>
      </c>
      <c r="BL57">
        <f t="shared" si="2"/>
        <v>915</v>
      </c>
      <c r="BM57">
        <f t="shared" si="3"/>
        <v>1</v>
      </c>
      <c r="BQ57">
        <v>11730</v>
      </c>
      <c r="BR57">
        <v>1.2045524813601851</v>
      </c>
      <c r="BS57">
        <v>915</v>
      </c>
      <c r="BT57">
        <v>-71.126480000000001</v>
      </c>
      <c r="BU57">
        <v>5.6315502999999998</v>
      </c>
      <c r="BV57">
        <v>3.1596172</v>
      </c>
    </row>
    <row r="58" spans="1:74" x14ac:dyDescent="0.2">
      <c r="A58" t="s">
        <v>151</v>
      </c>
      <c r="B58">
        <v>4249</v>
      </c>
      <c r="C58">
        <v>42.360878</v>
      </c>
      <c r="D58">
        <v>-71.133049</v>
      </c>
      <c r="E58">
        <v>61.75</v>
      </c>
      <c r="F58">
        <v>726</v>
      </c>
      <c r="G58">
        <v>30.380568</v>
      </c>
      <c r="H58">
        <v>1.01</v>
      </c>
      <c r="I58">
        <v>10</v>
      </c>
      <c r="J58" t="s">
        <v>65</v>
      </c>
      <c r="K58" t="s">
        <v>66</v>
      </c>
      <c r="L58">
        <v>1.0862668</v>
      </c>
      <c r="M58">
        <v>0</v>
      </c>
      <c r="N58">
        <v>1055</v>
      </c>
      <c r="O58">
        <v>52.7</v>
      </c>
      <c r="P58">
        <v>43.8</v>
      </c>
      <c r="Q58">
        <v>8.9</v>
      </c>
      <c r="R58">
        <v>23.8</v>
      </c>
      <c r="S58">
        <v>5.7</v>
      </c>
      <c r="T58">
        <v>9.1999999999999993</v>
      </c>
      <c r="U58">
        <v>0.4</v>
      </c>
      <c r="V58">
        <v>8.1999999999999993</v>
      </c>
      <c r="W58">
        <v>3.4</v>
      </c>
      <c r="X58">
        <v>11.1</v>
      </c>
      <c r="Y58">
        <v>11.9</v>
      </c>
      <c r="Z58">
        <v>4.3</v>
      </c>
      <c r="AA58">
        <v>12.5</v>
      </c>
      <c r="AB58">
        <v>16.5</v>
      </c>
      <c r="AC58">
        <v>16.2</v>
      </c>
      <c r="AD58">
        <v>13.2</v>
      </c>
      <c r="AE58">
        <v>10.8</v>
      </c>
      <c r="AF58">
        <v>32.799999999999997</v>
      </c>
      <c r="AG58">
        <v>1666</v>
      </c>
      <c r="AH58">
        <v>13</v>
      </c>
      <c r="AI58">
        <v>62</v>
      </c>
      <c r="AJ58">
        <v>75</v>
      </c>
      <c r="AK58">
        <v>80</v>
      </c>
      <c r="AL58">
        <v>333</v>
      </c>
      <c r="AM58">
        <v>387</v>
      </c>
      <c r="AN58">
        <v>263</v>
      </c>
      <c r="AO58">
        <v>92</v>
      </c>
      <c r="AP58">
        <v>84</v>
      </c>
      <c r="AQ58">
        <v>121</v>
      </c>
      <c r="AR58">
        <v>27</v>
      </c>
      <c r="AS58">
        <v>33</v>
      </c>
      <c r="AT58">
        <v>25</v>
      </c>
      <c r="AU58">
        <v>71</v>
      </c>
      <c r="AV58">
        <v>0</v>
      </c>
      <c r="AW58">
        <v>0</v>
      </c>
      <c r="AX58">
        <v>0</v>
      </c>
      <c r="AY58">
        <v>0</v>
      </c>
      <c r="AZ58">
        <v>28.5</v>
      </c>
      <c r="BA58">
        <v>115.5</v>
      </c>
      <c r="BB58">
        <v>3.4620907000000001</v>
      </c>
      <c r="BC58">
        <v>2.1242716000000001</v>
      </c>
      <c r="BD58">
        <v>1</v>
      </c>
      <c r="BE58">
        <v>0</v>
      </c>
      <c r="BF58">
        <v>1</v>
      </c>
      <c r="BG58">
        <v>3</v>
      </c>
      <c r="BH58">
        <v>5680</v>
      </c>
      <c r="BI58">
        <v>8537</v>
      </c>
      <c r="BJ58">
        <f t="shared" si="0"/>
        <v>1.3400017939460749</v>
      </c>
      <c r="BK58" s="10">
        <f t="shared" si="1"/>
        <v>7.7725118483412316E-3</v>
      </c>
      <c r="BL58">
        <f t="shared" si="2"/>
        <v>413</v>
      </c>
      <c r="BM58">
        <f t="shared" si="3"/>
        <v>1</v>
      </c>
      <c r="BQ58">
        <v>4249</v>
      </c>
      <c r="BR58">
        <v>1.3400017939460749</v>
      </c>
      <c r="BS58">
        <v>413</v>
      </c>
      <c r="BT58">
        <v>-71.133049</v>
      </c>
      <c r="BU58">
        <v>30.380568</v>
      </c>
      <c r="BV58">
        <v>3.4620907000000001</v>
      </c>
    </row>
    <row r="59" spans="1:74" x14ac:dyDescent="0.2">
      <c r="A59" t="s">
        <v>152</v>
      </c>
      <c r="B59">
        <v>2879</v>
      </c>
      <c r="C59">
        <v>42.327689999999997</v>
      </c>
      <c r="D59">
        <v>-71.119629000000003</v>
      </c>
      <c r="E59">
        <v>159.44999999999999</v>
      </c>
      <c r="F59">
        <v>1454</v>
      </c>
      <c r="G59">
        <v>22.163689000000002</v>
      </c>
      <c r="H59">
        <v>4010</v>
      </c>
      <c r="I59">
        <v>4</v>
      </c>
      <c r="J59" t="s">
        <v>137</v>
      </c>
      <c r="K59" t="s">
        <v>75</v>
      </c>
      <c r="L59">
        <v>0.53986067000000004</v>
      </c>
      <c r="M59">
        <v>0</v>
      </c>
      <c r="N59">
        <v>1945</v>
      </c>
      <c r="O59">
        <v>35.700000000000003</v>
      </c>
      <c r="P59">
        <v>30.1</v>
      </c>
      <c r="Q59">
        <v>5.6</v>
      </c>
      <c r="R59">
        <v>16.3</v>
      </c>
      <c r="S59">
        <v>12.5</v>
      </c>
      <c r="T59">
        <v>10.5</v>
      </c>
      <c r="U59">
        <v>0</v>
      </c>
      <c r="V59">
        <v>24.9</v>
      </c>
      <c r="W59">
        <v>2.5999999999999999E-2</v>
      </c>
      <c r="X59">
        <v>0.156</v>
      </c>
      <c r="Y59">
        <v>9.6000000000000002E-2</v>
      </c>
      <c r="Z59">
        <v>0.21</v>
      </c>
      <c r="AA59">
        <v>3.9E-2</v>
      </c>
      <c r="AB59">
        <v>0.17199999999999999</v>
      </c>
      <c r="AC59">
        <v>0.14000000000000001</v>
      </c>
      <c r="AD59">
        <v>0.10299999999999999</v>
      </c>
      <c r="AE59">
        <v>5.8000000000000003E-2</v>
      </c>
      <c r="AF59">
        <v>27.2</v>
      </c>
      <c r="AG59">
        <v>3561</v>
      </c>
      <c r="AH59">
        <v>238</v>
      </c>
      <c r="AI59">
        <v>201</v>
      </c>
      <c r="AJ59">
        <v>276</v>
      </c>
      <c r="AK59">
        <v>260</v>
      </c>
      <c r="AL59">
        <v>187</v>
      </c>
      <c r="AM59">
        <v>330</v>
      </c>
      <c r="AN59">
        <v>173</v>
      </c>
      <c r="AO59">
        <v>317</v>
      </c>
      <c r="AP59">
        <v>158</v>
      </c>
      <c r="AQ59">
        <v>382</v>
      </c>
      <c r="AR59">
        <v>226</v>
      </c>
      <c r="AS59">
        <v>176</v>
      </c>
      <c r="AT59">
        <v>123</v>
      </c>
      <c r="AU59">
        <v>210</v>
      </c>
      <c r="AV59">
        <v>137</v>
      </c>
      <c r="AW59">
        <v>73</v>
      </c>
      <c r="AX59">
        <v>45</v>
      </c>
      <c r="AY59">
        <v>49</v>
      </c>
      <c r="AZ59">
        <v>35.9</v>
      </c>
      <c r="BA59">
        <v>81.5</v>
      </c>
      <c r="BB59">
        <v>3.3427416999999999</v>
      </c>
      <c r="BC59">
        <v>1.0070665000000001</v>
      </c>
      <c r="BD59">
        <v>0</v>
      </c>
      <c r="BE59">
        <v>0</v>
      </c>
      <c r="BF59">
        <v>0</v>
      </c>
      <c r="BG59">
        <v>2</v>
      </c>
      <c r="BH59">
        <v>0</v>
      </c>
      <c r="BI59">
        <v>2838</v>
      </c>
      <c r="BJ59">
        <f t="shared" si="0"/>
        <v>1.4510234899529313</v>
      </c>
      <c r="BK59" s="10">
        <f t="shared" si="1"/>
        <v>1.2802056555269923E-2</v>
      </c>
      <c r="BL59">
        <f t="shared" si="2"/>
        <v>447</v>
      </c>
      <c r="BM59">
        <f t="shared" si="3"/>
        <v>1</v>
      </c>
      <c r="BQ59">
        <v>2879</v>
      </c>
      <c r="BR59">
        <v>1.4510234899529313</v>
      </c>
      <c r="BS59">
        <v>447</v>
      </c>
      <c r="BT59">
        <v>-71.119629000000003</v>
      </c>
      <c r="BU59">
        <v>22.163689000000002</v>
      </c>
      <c r="BV59">
        <v>3.3427416999999999</v>
      </c>
    </row>
    <row r="60" spans="1:74" x14ac:dyDescent="0.2">
      <c r="A60" t="s">
        <v>153</v>
      </c>
      <c r="B60">
        <v>8374</v>
      </c>
      <c r="C60">
        <v>42.358626999999998</v>
      </c>
      <c r="D60">
        <v>-71.130898000000002</v>
      </c>
      <c r="E60">
        <v>150.13</v>
      </c>
      <c r="F60">
        <v>1524</v>
      </c>
      <c r="G60">
        <v>25.397987000000001</v>
      </c>
      <c r="H60">
        <v>8.0399999999999991</v>
      </c>
      <c r="I60">
        <v>10</v>
      </c>
      <c r="J60" t="s">
        <v>65</v>
      </c>
      <c r="K60" t="s">
        <v>66</v>
      </c>
      <c r="L60">
        <v>0.60119765999999997</v>
      </c>
      <c r="M60">
        <v>0</v>
      </c>
      <c r="N60">
        <v>1702</v>
      </c>
      <c r="O60">
        <v>40.1</v>
      </c>
      <c r="P60">
        <v>35</v>
      </c>
      <c r="Q60">
        <v>5.2</v>
      </c>
      <c r="R60">
        <v>18.399999999999999</v>
      </c>
      <c r="S60">
        <v>7.7</v>
      </c>
      <c r="T60">
        <v>7.4</v>
      </c>
      <c r="U60">
        <v>4.5999999999999996</v>
      </c>
      <c r="V60">
        <v>21.7</v>
      </c>
      <c r="W60">
        <v>1.9</v>
      </c>
      <c r="X60">
        <v>5.7</v>
      </c>
      <c r="Y60">
        <v>16.2</v>
      </c>
      <c r="Z60">
        <v>6.1</v>
      </c>
      <c r="AA60">
        <v>4.5999999999999996</v>
      </c>
      <c r="AB60">
        <v>19.2</v>
      </c>
      <c r="AC60">
        <v>7.1</v>
      </c>
      <c r="AD60">
        <v>18.100000000000001</v>
      </c>
      <c r="AE60">
        <v>21.2</v>
      </c>
      <c r="AF60">
        <v>38.6</v>
      </c>
      <c r="AG60">
        <v>3238</v>
      </c>
      <c r="AH60">
        <v>94</v>
      </c>
      <c r="AI60">
        <v>0</v>
      </c>
      <c r="AJ60">
        <v>126</v>
      </c>
      <c r="AK60">
        <v>324</v>
      </c>
      <c r="AL60">
        <v>392</v>
      </c>
      <c r="AM60">
        <v>662</v>
      </c>
      <c r="AN60">
        <v>436</v>
      </c>
      <c r="AO60">
        <v>333</v>
      </c>
      <c r="AP60">
        <v>85</v>
      </c>
      <c r="AQ60">
        <v>41</v>
      </c>
      <c r="AR60">
        <v>255</v>
      </c>
      <c r="AS60">
        <v>206</v>
      </c>
      <c r="AT60">
        <v>42</v>
      </c>
      <c r="AU60">
        <v>156</v>
      </c>
      <c r="AV60">
        <v>19</v>
      </c>
      <c r="AW60">
        <v>35</v>
      </c>
      <c r="AX60">
        <v>0</v>
      </c>
      <c r="AY60">
        <v>32</v>
      </c>
      <c r="AZ60">
        <v>30.2</v>
      </c>
      <c r="BA60">
        <v>97.2</v>
      </c>
      <c r="BB60">
        <v>3.3381047000000001</v>
      </c>
      <c r="BC60">
        <v>1.9351178</v>
      </c>
      <c r="BD60">
        <v>1</v>
      </c>
      <c r="BE60">
        <v>0</v>
      </c>
      <c r="BF60">
        <v>1</v>
      </c>
      <c r="BG60">
        <v>10</v>
      </c>
      <c r="BH60">
        <v>7099</v>
      </c>
      <c r="BI60">
        <v>5647.5</v>
      </c>
      <c r="BJ60">
        <f t="shared" si="0"/>
        <v>1.1922935720211669</v>
      </c>
      <c r="BK60" s="10">
        <f t="shared" si="1"/>
        <v>1.2749706227967098E-2</v>
      </c>
      <c r="BL60">
        <f t="shared" si="2"/>
        <v>716</v>
      </c>
      <c r="BM60">
        <f t="shared" si="3"/>
        <v>1</v>
      </c>
      <c r="BQ60">
        <v>8374</v>
      </c>
      <c r="BR60">
        <v>1.1922935720211669</v>
      </c>
      <c r="BS60">
        <v>716</v>
      </c>
      <c r="BT60">
        <v>-71.130898000000002</v>
      </c>
      <c r="BU60">
        <v>25.397987000000001</v>
      </c>
      <c r="BV60">
        <v>3.3381047000000001</v>
      </c>
    </row>
    <row r="61" spans="1:74" x14ac:dyDescent="0.2">
      <c r="A61" t="s">
        <v>154</v>
      </c>
      <c r="B61">
        <v>10336</v>
      </c>
      <c r="C61">
        <v>42.334606000000001</v>
      </c>
      <c r="D61">
        <v>-71.096214000000003</v>
      </c>
      <c r="E61">
        <v>90.160004000000001</v>
      </c>
      <c r="F61">
        <v>1096</v>
      </c>
      <c r="G61">
        <v>47.493343000000003</v>
      </c>
      <c r="H61">
        <v>808.01</v>
      </c>
      <c r="I61">
        <v>10</v>
      </c>
      <c r="J61" t="s">
        <v>119</v>
      </c>
      <c r="K61" t="s">
        <v>75</v>
      </c>
      <c r="L61">
        <v>7.7578510000000003E-2</v>
      </c>
      <c r="M61">
        <v>1</v>
      </c>
      <c r="N61">
        <v>1787</v>
      </c>
      <c r="O61">
        <v>21.4</v>
      </c>
      <c r="P61">
        <v>20.7</v>
      </c>
      <c r="Q61">
        <v>0.7</v>
      </c>
      <c r="R61">
        <v>39.4</v>
      </c>
      <c r="S61">
        <v>33.200000000000003</v>
      </c>
      <c r="T61">
        <v>0</v>
      </c>
      <c r="U61">
        <v>2</v>
      </c>
      <c r="V61">
        <v>4.0999999999999996</v>
      </c>
      <c r="W61">
        <v>14.4</v>
      </c>
      <c r="X61">
        <v>10</v>
      </c>
      <c r="Y61">
        <v>17.899999999999999</v>
      </c>
      <c r="Z61">
        <v>14.1</v>
      </c>
      <c r="AA61">
        <v>5</v>
      </c>
      <c r="AB61">
        <v>19.100000000000001</v>
      </c>
      <c r="AC61">
        <v>9.3000000000000007</v>
      </c>
      <c r="AD61">
        <v>4.0999999999999996</v>
      </c>
      <c r="AE61">
        <v>6.2</v>
      </c>
      <c r="AF61">
        <v>23.4</v>
      </c>
      <c r="AG61">
        <v>4425</v>
      </c>
      <c r="AH61">
        <v>85</v>
      </c>
      <c r="AI61">
        <v>268</v>
      </c>
      <c r="AJ61">
        <v>167</v>
      </c>
      <c r="AK61">
        <v>1047</v>
      </c>
      <c r="AL61">
        <v>1065</v>
      </c>
      <c r="AM61">
        <v>416</v>
      </c>
      <c r="AN61">
        <v>234</v>
      </c>
      <c r="AO61">
        <v>145</v>
      </c>
      <c r="AP61">
        <v>78</v>
      </c>
      <c r="AQ61">
        <v>147</v>
      </c>
      <c r="AR61">
        <v>230</v>
      </c>
      <c r="AS61">
        <v>136</v>
      </c>
      <c r="AT61">
        <v>193</v>
      </c>
      <c r="AU61">
        <v>60</v>
      </c>
      <c r="AV61">
        <v>9</v>
      </c>
      <c r="AW61">
        <v>104</v>
      </c>
      <c r="AX61">
        <v>15</v>
      </c>
      <c r="AY61">
        <v>26</v>
      </c>
      <c r="AZ61">
        <v>21.7</v>
      </c>
      <c r="BA61">
        <v>95.4</v>
      </c>
      <c r="BB61">
        <v>2.1057229</v>
      </c>
      <c r="BC61">
        <v>0.52415900999999998</v>
      </c>
      <c r="BD61">
        <v>1</v>
      </c>
      <c r="BE61">
        <v>0</v>
      </c>
      <c r="BF61">
        <v>5</v>
      </c>
      <c r="BG61">
        <v>16</v>
      </c>
      <c r="BH61">
        <v>5052.8</v>
      </c>
      <c r="BI61">
        <v>10507.75</v>
      </c>
      <c r="BJ61">
        <f t="shared" si="0"/>
        <v>1.0320684166629246</v>
      </c>
      <c r="BK61" s="10">
        <f t="shared" si="1"/>
        <v>2.2943480693900392E-3</v>
      </c>
      <c r="BL61">
        <f t="shared" si="2"/>
        <v>2112</v>
      </c>
      <c r="BM61">
        <f t="shared" si="3"/>
        <v>1</v>
      </c>
      <c r="BQ61">
        <v>10336</v>
      </c>
      <c r="BR61">
        <v>1.0320684166629246</v>
      </c>
      <c r="BS61">
        <v>2112</v>
      </c>
      <c r="BT61">
        <v>-71.096214000000003</v>
      </c>
      <c r="BU61">
        <v>47.493343000000003</v>
      </c>
      <c r="BV61">
        <v>2.1057229</v>
      </c>
    </row>
    <row r="62" spans="1:74" x14ac:dyDescent="0.2">
      <c r="A62" t="s">
        <v>155</v>
      </c>
      <c r="B62">
        <v>1476</v>
      </c>
      <c r="C62">
        <v>42.292453999999999</v>
      </c>
      <c r="D62">
        <v>-71.116539000000003</v>
      </c>
      <c r="E62">
        <v>52.549999</v>
      </c>
      <c r="F62">
        <v>614</v>
      </c>
      <c r="G62">
        <v>25.803996999999999</v>
      </c>
      <c r="H62">
        <v>1101.06</v>
      </c>
      <c r="I62">
        <v>10</v>
      </c>
      <c r="J62" t="s">
        <v>68</v>
      </c>
      <c r="K62" t="s">
        <v>69</v>
      </c>
      <c r="L62">
        <v>0.34250524999999998</v>
      </c>
      <c r="M62">
        <v>0</v>
      </c>
      <c r="N62">
        <v>958</v>
      </c>
      <c r="O62">
        <v>37.6</v>
      </c>
      <c r="P62">
        <v>30.7</v>
      </c>
      <c r="Q62">
        <v>6.9</v>
      </c>
      <c r="R62">
        <v>37.799999999999997</v>
      </c>
      <c r="S62">
        <v>3.5</v>
      </c>
      <c r="T62">
        <v>3.1</v>
      </c>
      <c r="U62">
        <v>0</v>
      </c>
      <c r="V62">
        <v>18</v>
      </c>
      <c r="W62">
        <v>0</v>
      </c>
      <c r="X62">
        <v>13.7</v>
      </c>
      <c r="Y62">
        <v>4.0999999999999996</v>
      </c>
      <c r="Z62">
        <v>12.6</v>
      </c>
      <c r="AA62">
        <v>3.8</v>
      </c>
      <c r="AB62">
        <v>12.6</v>
      </c>
      <c r="AC62">
        <v>12.6</v>
      </c>
      <c r="AD62">
        <v>30.3</v>
      </c>
      <c r="AE62">
        <v>10.3</v>
      </c>
      <c r="AF62">
        <v>34.6</v>
      </c>
      <c r="AG62">
        <v>1685</v>
      </c>
      <c r="AH62">
        <v>104</v>
      </c>
      <c r="AI62">
        <v>37</v>
      </c>
      <c r="AJ62">
        <v>0</v>
      </c>
      <c r="AK62">
        <v>8</v>
      </c>
      <c r="AL62">
        <v>40</v>
      </c>
      <c r="AM62">
        <v>113</v>
      </c>
      <c r="AN62">
        <v>182</v>
      </c>
      <c r="AO62">
        <v>170</v>
      </c>
      <c r="AP62">
        <v>103</v>
      </c>
      <c r="AQ62">
        <v>51</v>
      </c>
      <c r="AR62">
        <v>30</v>
      </c>
      <c r="AS62">
        <v>84</v>
      </c>
      <c r="AT62">
        <v>207</v>
      </c>
      <c r="AU62">
        <v>46</v>
      </c>
      <c r="AV62">
        <v>236</v>
      </c>
      <c r="AW62">
        <v>242</v>
      </c>
      <c r="AX62">
        <v>14</v>
      </c>
      <c r="AY62">
        <v>18</v>
      </c>
      <c r="AZ62">
        <v>55.2</v>
      </c>
      <c r="BA62">
        <v>105.2</v>
      </c>
      <c r="BB62">
        <v>5.0481085999999999</v>
      </c>
      <c r="BC62">
        <v>3.1870615</v>
      </c>
      <c r="BD62">
        <v>1</v>
      </c>
      <c r="BE62">
        <v>0</v>
      </c>
      <c r="BF62">
        <v>0</v>
      </c>
      <c r="BG62">
        <v>3</v>
      </c>
      <c r="BH62">
        <v>0</v>
      </c>
      <c r="BI62">
        <v>3794</v>
      </c>
      <c r="BJ62">
        <f t="shared" si="0"/>
        <v>3.4793529045304781</v>
      </c>
      <c r="BK62" s="10">
        <f t="shared" si="1"/>
        <v>1.8789144050104383E-2</v>
      </c>
      <c r="BL62">
        <f t="shared" si="2"/>
        <v>48</v>
      </c>
      <c r="BM62">
        <f t="shared" si="3"/>
        <v>0</v>
      </c>
      <c r="BQ62">
        <v>1476</v>
      </c>
      <c r="BR62">
        <v>3.4793529045304781</v>
      </c>
      <c r="BS62">
        <v>48</v>
      </c>
      <c r="BT62">
        <v>-71.116539000000003</v>
      </c>
      <c r="BU62">
        <v>25.803996999999999</v>
      </c>
      <c r="BV62">
        <v>5.0481085999999999</v>
      </c>
    </row>
    <row r="63" spans="1:74" x14ac:dyDescent="0.2">
      <c r="A63" t="s">
        <v>156</v>
      </c>
      <c r="B63">
        <v>12214</v>
      </c>
      <c r="C63">
        <v>42.324322000000002</v>
      </c>
      <c r="D63">
        <v>-71.110991999999996</v>
      </c>
      <c r="E63">
        <v>76.75</v>
      </c>
      <c r="F63">
        <v>1067</v>
      </c>
      <c r="G63">
        <v>27.869706999999998</v>
      </c>
      <c r="H63">
        <v>1207</v>
      </c>
      <c r="I63">
        <v>10</v>
      </c>
      <c r="J63" t="s">
        <v>157</v>
      </c>
      <c r="K63" t="s">
        <v>94</v>
      </c>
      <c r="L63">
        <v>0.47540262</v>
      </c>
      <c r="M63">
        <v>0</v>
      </c>
      <c r="N63">
        <v>1128</v>
      </c>
      <c r="O63">
        <v>32.299999999999997</v>
      </c>
      <c r="P63">
        <v>31.9</v>
      </c>
      <c r="Q63">
        <v>0.4</v>
      </c>
      <c r="R63">
        <v>32.700000000000003</v>
      </c>
      <c r="S63">
        <v>6.3</v>
      </c>
      <c r="T63">
        <v>7.1</v>
      </c>
      <c r="U63">
        <v>0</v>
      </c>
      <c r="V63">
        <v>21.6</v>
      </c>
      <c r="W63">
        <v>2.5</v>
      </c>
      <c r="X63">
        <v>2.2999999999999998</v>
      </c>
      <c r="Y63">
        <v>10.199999999999999</v>
      </c>
      <c r="Z63">
        <v>14.8</v>
      </c>
      <c r="AA63">
        <v>18.7</v>
      </c>
      <c r="AB63">
        <v>32</v>
      </c>
      <c r="AC63">
        <v>6.9</v>
      </c>
      <c r="AD63">
        <v>11.2</v>
      </c>
      <c r="AE63">
        <v>1.5</v>
      </c>
      <c r="AF63">
        <v>28</v>
      </c>
      <c r="AG63">
        <v>1905</v>
      </c>
      <c r="AH63">
        <v>198</v>
      </c>
      <c r="AI63">
        <v>57</v>
      </c>
      <c r="AJ63">
        <v>126</v>
      </c>
      <c r="AK63">
        <v>0</v>
      </c>
      <c r="AL63">
        <v>77</v>
      </c>
      <c r="AM63">
        <v>185</v>
      </c>
      <c r="AN63">
        <v>353</v>
      </c>
      <c r="AO63">
        <v>203</v>
      </c>
      <c r="AP63">
        <v>144</v>
      </c>
      <c r="AQ63">
        <v>42</v>
      </c>
      <c r="AR63">
        <v>59</v>
      </c>
      <c r="AS63">
        <v>144</v>
      </c>
      <c r="AT63">
        <v>10</v>
      </c>
      <c r="AU63">
        <v>44</v>
      </c>
      <c r="AV63">
        <v>126</v>
      </c>
      <c r="AW63">
        <v>74</v>
      </c>
      <c r="AX63">
        <v>20</v>
      </c>
      <c r="AY63">
        <v>43</v>
      </c>
      <c r="AZ63">
        <v>34.200000000000003</v>
      </c>
      <c r="BA63">
        <v>68.3</v>
      </c>
      <c r="BB63">
        <v>3.1423819000000002</v>
      </c>
      <c r="BC63">
        <v>0.97600012999999997</v>
      </c>
      <c r="BD63">
        <v>1</v>
      </c>
      <c r="BE63">
        <v>0</v>
      </c>
      <c r="BF63">
        <v>0</v>
      </c>
      <c r="BG63">
        <v>4</v>
      </c>
      <c r="BH63">
        <v>0</v>
      </c>
      <c r="BI63">
        <v>4662</v>
      </c>
      <c r="BJ63">
        <f t="shared" si="0"/>
        <v>1.5480706014817918</v>
      </c>
      <c r="BK63" s="10">
        <f t="shared" si="1"/>
        <v>1.9148936170212766E-2</v>
      </c>
      <c r="BL63">
        <f t="shared" si="2"/>
        <v>77</v>
      </c>
      <c r="BM63">
        <f t="shared" si="3"/>
        <v>1</v>
      </c>
      <c r="BQ63">
        <v>12214</v>
      </c>
      <c r="BR63">
        <v>1.5480706014817918</v>
      </c>
      <c r="BS63">
        <v>77</v>
      </c>
      <c r="BT63">
        <v>-71.110991999999996</v>
      </c>
      <c r="BU63">
        <v>27.869706999999998</v>
      </c>
      <c r="BV63">
        <v>3.1423819000000002</v>
      </c>
    </row>
    <row r="64" spans="1:74" x14ac:dyDescent="0.2">
      <c r="A64" t="s">
        <v>158</v>
      </c>
      <c r="B64">
        <v>10250</v>
      </c>
      <c r="C64">
        <v>42.363678</v>
      </c>
      <c r="D64">
        <v>-71.126480000000001</v>
      </c>
      <c r="E64">
        <v>350.17000999999999</v>
      </c>
      <c r="F64">
        <v>1055</v>
      </c>
      <c r="G64">
        <v>5.6315502999999998</v>
      </c>
      <c r="H64">
        <v>8.06</v>
      </c>
      <c r="I64">
        <v>10</v>
      </c>
      <c r="J64" t="s">
        <v>65</v>
      </c>
      <c r="K64" t="s">
        <v>66</v>
      </c>
      <c r="L64">
        <v>0.81448971999999997</v>
      </c>
      <c r="M64">
        <v>0</v>
      </c>
      <c r="N64">
        <v>888</v>
      </c>
      <c r="O64">
        <v>30.6</v>
      </c>
      <c r="P64">
        <v>30.6</v>
      </c>
      <c r="Q64">
        <v>0</v>
      </c>
      <c r="R64">
        <v>10.5</v>
      </c>
      <c r="S64">
        <v>32.799999999999997</v>
      </c>
      <c r="T64">
        <v>2.6</v>
      </c>
      <c r="U64">
        <v>0.8</v>
      </c>
      <c r="V64">
        <v>22.7</v>
      </c>
      <c r="W64">
        <v>24.5</v>
      </c>
      <c r="X64">
        <v>15.3</v>
      </c>
      <c r="Y64">
        <v>18.399999999999999</v>
      </c>
      <c r="Z64">
        <v>10.6</v>
      </c>
      <c r="AA64">
        <v>10.9</v>
      </c>
      <c r="AB64">
        <v>9.6</v>
      </c>
      <c r="AC64">
        <v>2.2999999999999998</v>
      </c>
      <c r="AD64">
        <v>6.1</v>
      </c>
      <c r="AE64">
        <v>2.2000000000000002</v>
      </c>
      <c r="AF64">
        <v>18.8</v>
      </c>
      <c r="AG64">
        <v>2273</v>
      </c>
      <c r="AH64">
        <v>96</v>
      </c>
      <c r="AI64">
        <v>46</v>
      </c>
      <c r="AJ64">
        <v>0</v>
      </c>
      <c r="AK64">
        <v>405</v>
      </c>
      <c r="AL64">
        <v>510</v>
      </c>
      <c r="AM64">
        <v>640</v>
      </c>
      <c r="AN64">
        <v>426</v>
      </c>
      <c r="AO64">
        <v>85</v>
      </c>
      <c r="AP64">
        <v>0</v>
      </c>
      <c r="AQ64">
        <v>47</v>
      </c>
      <c r="AR64">
        <v>0</v>
      </c>
      <c r="AS64">
        <v>0</v>
      </c>
      <c r="AT64">
        <v>0</v>
      </c>
      <c r="AU64">
        <v>18</v>
      </c>
      <c r="AV64">
        <v>0</v>
      </c>
      <c r="AW64">
        <v>0</v>
      </c>
      <c r="AX64">
        <v>0</v>
      </c>
      <c r="AY64">
        <v>0</v>
      </c>
      <c r="AZ64">
        <v>26.3</v>
      </c>
      <c r="BA64">
        <v>86.2</v>
      </c>
      <c r="BB64">
        <v>3.1596172</v>
      </c>
      <c r="BC64">
        <v>2.0818346000000001</v>
      </c>
      <c r="BD64">
        <v>1</v>
      </c>
      <c r="BE64">
        <v>0</v>
      </c>
      <c r="BF64">
        <v>3</v>
      </c>
      <c r="BG64">
        <v>7</v>
      </c>
      <c r="BH64">
        <v>7260.3329999999996</v>
      </c>
      <c r="BI64">
        <v>8863.7139999999999</v>
      </c>
      <c r="BJ64">
        <f t="shared" si="0"/>
        <v>1.2045524813601851</v>
      </c>
      <c r="BK64" s="10">
        <f t="shared" si="1"/>
        <v>2.5563063063063062E-2</v>
      </c>
      <c r="BL64">
        <f t="shared" si="2"/>
        <v>915</v>
      </c>
      <c r="BM64">
        <f t="shared" si="3"/>
        <v>1</v>
      </c>
      <c r="BQ64">
        <v>10250</v>
      </c>
      <c r="BR64">
        <v>1.2045524813601851</v>
      </c>
      <c r="BS64">
        <v>915</v>
      </c>
      <c r="BT64">
        <v>-71.126480000000001</v>
      </c>
      <c r="BU64">
        <v>5.6315502999999998</v>
      </c>
      <c r="BV64">
        <v>3.1596172</v>
      </c>
    </row>
    <row r="65" spans="1:74" x14ac:dyDescent="0.2">
      <c r="A65" t="s">
        <v>159</v>
      </c>
      <c r="B65">
        <v>5575</v>
      </c>
      <c r="C65">
        <v>42.347037999999998</v>
      </c>
      <c r="D65">
        <v>-71.126983999999993</v>
      </c>
      <c r="E65">
        <v>129.97999999999999</v>
      </c>
      <c r="F65">
        <v>1786</v>
      </c>
      <c r="G65">
        <v>33.158946999999998</v>
      </c>
      <c r="H65">
        <v>4003</v>
      </c>
      <c r="I65">
        <v>4</v>
      </c>
      <c r="J65" t="s">
        <v>96</v>
      </c>
      <c r="K65" t="s">
        <v>66</v>
      </c>
      <c r="L65">
        <v>0.27738836</v>
      </c>
      <c r="M65">
        <v>0</v>
      </c>
      <c r="N65">
        <v>2513</v>
      </c>
      <c r="O65">
        <v>25.6</v>
      </c>
      <c r="P65">
        <v>24.6</v>
      </c>
      <c r="Q65">
        <v>1</v>
      </c>
      <c r="R65">
        <v>22.6</v>
      </c>
      <c r="S65">
        <v>14.9</v>
      </c>
      <c r="T65">
        <v>5.3</v>
      </c>
      <c r="U65">
        <v>0</v>
      </c>
      <c r="V65">
        <v>31.6</v>
      </c>
      <c r="W65">
        <v>3.4000000000000002E-2</v>
      </c>
      <c r="X65">
        <v>5.8999999999999997E-2</v>
      </c>
      <c r="Y65">
        <v>7.1999999999999995E-2</v>
      </c>
      <c r="Z65">
        <v>8.6999999999999994E-2</v>
      </c>
      <c r="AA65">
        <v>8.2000000000000003E-2</v>
      </c>
      <c r="AB65">
        <v>0.219</v>
      </c>
      <c r="AC65">
        <v>0.19900000000000001</v>
      </c>
      <c r="AD65">
        <v>0.14899999999999999</v>
      </c>
      <c r="AE65">
        <v>9.9000000000000005E-2</v>
      </c>
      <c r="AF65">
        <v>33.299999999999997</v>
      </c>
      <c r="AG65">
        <v>4497</v>
      </c>
      <c r="AH65">
        <v>250</v>
      </c>
      <c r="AI65">
        <v>299</v>
      </c>
      <c r="AJ65">
        <v>268</v>
      </c>
      <c r="AK65">
        <v>239</v>
      </c>
      <c r="AL65">
        <v>442</v>
      </c>
      <c r="AM65">
        <v>551</v>
      </c>
      <c r="AN65">
        <v>354</v>
      </c>
      <c r="AO65">
        <v>269</v>
      </c>
      <c r="AP65">
        <v>313</v>
      </c>
      <c r="AQ65">
        <v>170</v>
      </c>
      <c r="AR65">
        <v>262</v>
      </c>
      <c r="AS65">
        <v>263</v>
      </c>
      <c r="AT65">
        <v>249</v>
      </c>
      <c r="AU65">
        <v>245</v>
      </c>
      <c r="AV65">
        <v>157</v>
      </c>
      <c r="AW65">
        <v>89</v>
      </c>
      <c r="AX65">
        <v>27</v>
      </c>
      <c r="AY65">
        <v>50</v>
      </c>
      <c r="AZ65">
        <v>32.299999999999997</v>
      </c>
      <c r="BA65">
        <v>76.599999999999994</v>
      </c>
      <c r="BB65">
        <v>3.1788048999999998</v>
      </c>
      <c r="BC65">
        <v>1.2680788999999999</v>
      </c>
      <c r="BD65">
        <v>0</v>
      </c>
      <c r="BE65">
        <v>0</v>
      </c>
      <c r="BF65">
        <v>2</v>
      </c>
      <c r="BG65">
        <v>10</v>
      </c>
      <c r="BH65">
        <v>12085.5</v>
      </c>
      <c r="BI65">
        <v>10587.2</v>
      </c>
      <c r="BJ65">
        <f t="shared" si="0"/>
        <v>0.91287501981312191</v>
      </c>
      <c r="BK65" s="10">
        <f t="shared" si="1"/>
        <v>1.2574612017508953E-2</v>
      </c>
      <c r="BL65">
        <f t="shared" si="2"/>
        <v>681</v>
      </c>
      <c r="BM65">
        <f t="shared" si="3"/>
        <v>1</v>
      </c>
      <c r="BQ65">
        <v>5575</v>
      </c>
      <c r="BR65">
        <v>0.91287501981312191</v>
      </c>
      <c r="BS65">
        <v>681</v>
      </c>
      <c r="BT65">
        <v>-71.126983999999993</v>
      </c>
      <c r="BU65">
        <v>33.158946999999998</v>
      </c>
      <c r="BV65">
        <v>3.1788048999999998</v>
      </c>
    </row>
    <row r="66" spans="1:74" x14ac:dyDescent="0.2">
      <c r="A66" t="s">
        <v>160</v>
      </c>
      <c r="B66">
        <v>11133</v>
      </c>
      <c r="C66">
        <v>42.324364000000003</v>
      </c>
      <c r="D66">
        <v>-71.103752</v>
      </c>
      <c r="E66">
        <v>66.529999000000004</v>
      </c>
      <c r="F66">
        <v>1378</v>
      </c>
      <c r="G66">
        <v>52.698031999999998</v>
      </c>
      <c r="H66">
        <v>812</v>
      </c>
      <c r="I66">
        <v>10</v>
      </c>
      <c r="J66" t="s">
        <v>161</v>
      </c>
      <c r="K66" t="s">
        <v>69</v>
      </c>
      <c r="L66">
        <v>1.314181E-2</v>
      </c>
      <c r="M66">
        <v>1</v>
      </c>
      <c r="N66">
        <v>1464</v>
      </c>
      <c r="O66">
        <v>35.799999999999997</v>
      </c>
      <c r="P66">
        <v>31.8</v>
      </c>
      <c r="Q66">
        <v>4</v>
      </c>
      <c r="R66">
        <v>36.799999999999997</v>
      </c>
      <c r="S66">
        <v>16.100000000000001</v>
      </c>
      <c r="T66">
        <v>4.5</v>
      </c>
      <c r="U66">
        <v>0.2</v>
      </c>
      <c r="V66">
        <v>6.6</v>
      </c>
      <c r="W66">
        <v>3.7</v>
      </c>
      <c r="X66">
        <v>11.5</v>
      </c>
      <c r="Y66">
        <v>20.3</v>
      </c>
      <c r="Z66">
        <v>7.2</v>
      </c>
      <c r="AA66">
        <v>4.5</v>
      </c>
      <c r="AB66">
        <v>22.7</v>
      </c>
      <c r="AC66">
        <v>4.2</v>
      </c>
      <c r="AD66">
        <v>15.1</v>
      </c>
      <c r="AE66">
        <v>10.7</v>
      </c>
      <c r="AF66">
        <v>29</v>
      </c>
      <c r="AG66">
        <v>3523</v>
      </c>
      <c r="AH66">
        <v>381</v>
      </c>
      <c r="AI66">
        <v>114</v>
      </c>
      <c r="AJ66">
        <v>406</v>
      </c>
      <c r="AK66">
        <v>230</v>
      </c>
      <c r="AL66">
        <v>233</v>
      </c>
      <c r="AM66">
        <v>305</v>
      </c>
      <c r="AN66">
        <v>419</v>
      </c>
      <c r="AO66">
        <v>257</v>
      </c>
      <c r="AP66">
        <v>171</v>
      </c>
      <c r="AQ66">
        <v>290</v>
      </c>
      <c r="AR66">
        <v>126</v>
      </c>
      <c r="AS66">
        <v>91</v>
      </c>
      <c r="AT66">
        <v>195</v>
      </c>
      <c r="AU66">
        <v>111</v>
      </c>
      <c r="AV66">
        <v>118</v>
      </c>
      <c r="AW66">
        <v>39</v>
      </c>
      <c r="AX66">
        <v>37</v>
      </c>
      <c r="AY66">
        <v>0</v>
      </c>
      <c r="AZ66">
        <v>31</v>
      </c>
      <c r="BA66">
        <v>81.599999999999994</v>
      </c>
      <c r="BB66">
        <v>2.8788855</v>
      </c>
      <c r="BC66">
        <v>0.93600499999999998</v>
      </c>
      <c r="BD66">
        <v>1</v>
      </c>
      <c r="BE66">
        <v>0</v>
      </c>
      <c r="BF66">
        <v>1</v>
      </c>
      <c r="BG66">
        <v>4</v>
      </c>
      <c r="BH66">
        <v>3294</v>
      </c>
      <c r="BI66">
        <v>4848.5</v>
      </c>
      <c r="BJ66">
        <f t="shared" si="0"/>
        <v>1.5402657958766695</v>
      </c>
      <c r="BK66" s="10">
        <f t="shared" si="1"/>
        <v>4.5081967213114749E-3</v>
      </c>
      <c r="BL66">
        <f t="shared" si="2"/>
        <v>463</v>
      </c>
      <c r="BM66">
        <f t="shared" si="3"/>
        <v>0</v>
      </c>
      <c r="BQ66">
        <v>11133</v>
      </c>
      <c r="BR66">
        <v>1.5402657958766695</v>
      </c>
      <c r="BS66">
        <v>463</v>
      </c>
      <c r="BT66">
        <v>-71.103752</v>
      </c>
      <c r="BU66">
        <v>52.698031999999998</v>
      </c>
      <c r="BV66">
        <v>2.8788855</v>
      </c>
    </row>
    <row r="67" spans="1:74" x14ac:dyDescent="0.2">
      <c r="A67" t="s">
        <v>162</v>
      </c>
      <c r="B67">
        <v>2198</v>
      </c>
      <c r="C67">
        <v>42.304268</v>
      </c>
      <c r="D67">
        <v>-71.117096000000004</v>
      </c>
      <c r="E67">
        <v>100.27</v>
      </c>
      <c r="F67">
        <v>1138</v>
      </c>
      <c r="G67">
        <v>23.666101000000001</v>
      </c>
      <c r="H67">
        <v>1201.04</v>
      </c>
      <c r="I67">
        <v>10</v>
      </c>
      <c r="J67" t="s">
        <v>68</v>
      </c>
      <c r="K67" t="s">
        <v>69</v>
      </c>
      <c r="L67">
        <v>0.36841285000000001</v>
      </c>
      <c r="M67">
        <v>0</v>
      </c>
      <c r="N67">
        <v>1631</v>
      </c>
      <c r="O67">
        <v>37.6</v>
      </c>
      <c r="P67">
        <v>30.7</v>
      </c>
      <c r="Q67">
        <v>7</v>
      </c>
      <c r="R67">
        <v>26.6</v>
      </c>
      <c r="S67">
        <v>2.2000000000000002</v>
      </c>
      <c r="T67">
        <v>12.5</v>
      </c>
      <c r="U67">
        <v>2</v>
      </c>
      <c r="V67">
        <v>19.100000000000001</v>
      </c>
      <c r="W67">
        <v>7.7</v>
      </c>
      <c r="X67">
        <v>0.1</v>
      </c>
      <c r="Y67">
        <v>6.7</v>
      </c>
      <c r="Z67">
        <v>9.1999999999999993</v>
      </c>
      <c r="AA67">
        <v>12.2</v>
      </c>
      <c r="AB67">
        <v>19.5</v>
      </c>
      <c r="AC67">
        <v>22.4</v>
      </c>
      <c r="AD67">
        <v>14.8</v>
      </c>
      <c r="AE67">
        <v>7.4</v>
      </c>
      <c r="AF67">
        <v>33</v>
      </c>
      <c r="AG67">
        <v>2422</v>
      </c>
      <c r="AH67">
        <v>108</v>
      </c>
      <c r="AI67">
        <v>62</v>
      </c>
      <c r="AJ67">
        <v>116</v>
      </c>
      <c r="AK67">
        <v>77</v>
      </c>
      <c r="AL67">
        <v>103</v>
      </c>
      <c r="AM67">
        <v>298</v>
      </c>
      <c r="AN67">
        <v>368</v>
      </c>
      <c r="AO67">
        <v>252</v>
      </c>
      <c r="AP67">
        <v>149</v>
      </c>
      <c r="AQ67">
        <v>241</v>
      </c>
      <c r="AR67">
        <v>62</v>
      </c>
      <c r="AS67">
        <v>124</v>
      </c>
      <c r="AT67">
        <v>108</v>
      </c>
      <c r="AU67">
        <v>102</v>
      </c>
      <c r="AV67">
        <v>86</v>
      </c>
      <c r="AW67">
        <v>119</v>
      </c>
      <c r="AX67">
        <v>8</v>
      </c>
      <c r="AY67">
        <v>39</v>
      </c>
      <c r="AZ67">
        <v>37.1</v>
      </c>
      <c r="BA67">
        <v>79.900000000000006</v>
      </c>
      <c r="BB67">
        <v>4.3852004999999998</v>
      </c>
      <c r="BC67">
        <v>2.3948927000000002</v>
      </c>
      <c r="BD67">
        <v>1</v>
      </c>
      <c r="BE67">
        <v>0</v>
      </c>
      <c r="BF67">
        <v>1</v>
      </c>
      <c r="BG67">
        <v>4</v>
      </c>
      <c r="BH67">
        <v>4738</v>
      </c>
      <c r="BI67">
        <v>6286</v>
      </c>
      <c r="BJ67">
        <f t="shared" ref="BJ67:BJ117" si="4">ACOS((SIN(C67*PI()/180)*SIN(42.34989*PI()/180)+COS(C67*PI()/180)*COS(42.34989*PI()/180)*COS((-71.1068)*PI()/180-D67*PI()/180)) ) *3443.8985</f>
        <v>2.7801258751056261</v>
      </c>
      <c r="BK67" s="10">
        <f t="shared" ref="BK67:BK117" si="5">V67/N67</f>
        <v>1.1710606989576948E-2</v>
      </c>
      <c r="BL67">
        <f t="shared" ref="BL67:BL117" si="6">AK67+AL67</f>
        <v>180</v>
      </c>
      <c r="BM67">
        <f t="shared" ref="BM67:BM117" si="7">IF(LEFT(K67,1)="G",1,0)</f>
        <v>0</v>
      </c>
      <c r="BQ67">
        <v>2198</v>
      </c>
      <c r="BR67">
        <v>2.7801258751056261</v>
      </c>
      <c r="BS67">
        <v>180</v>
      </c>
      <c r="BT67">
        <v>-71.117096000000004</v>
      </c>
      <c r="BU67">
        <v>23.666101000000001</v>
      </c>
      <c r="BV67">
        <v>4.3852004999999998</v>
      </c>
    </row>
    <row r="68" spans="1:74" x14ac:dyDescent="0.2">
      <c r="A68" t="s">
        <v>164</v>
      </c>
      <c r="B68">
        <v>18015</v>
      </c>
      <c r="C68">
        <v>42.349429999999998</v>
      </c>
      <c r="D68">
        <v>-71.09375</v>
      </c>
      <c r="E68">
        <v>70.839995999999999</v>
      </c>
      <c r="F68">
        <v>2125</v>
      </c>
      <c r="G68">
        <v>71.470923999999997</v>
      </c>
      <c r="H68">
        <v>101.04</v>
      </c>
      <c r="I68">
        <v>10</v>
      </c>
      <c r="J68" t="s">
        <v>90</v>
      </c>
      <c r="K68" t="s">
        <v>91</v>
      </c>
      <c r="L68">
        <v>9.6050460000000004E-2</v>
      </c>
      <c r="M68">
        <v>2</v>
      </c>
      <c r="N68">
        <v>2266</v>
      </c>
      <c r="O68">
        <v>12.3</v>
      </c>
      <c r="P68">
        <v>10</v>
      </c>
      <c r="Q68">
        <v>2.2999999999999998</v>
      </c>
      <c r="R68">
        <v>26.1</v>
      </c>
      <c r="S68">
        <v>36.4</v>
      </c>
      <c r="T68">
        <v>3.9</v>
      </c>
      <c r="U68">
        <v>1.5</v>
      </c>
      <c r="V68">
        <v>19.8</v>
      </c>
      <c r="W68">
        <v>24.2</v>
      </c>
      <c r="X68">
        <v>7.7</v>
      </c>
      <c r="Y68">
        <v>16</v>
      </c>
      <c r="Z68">
        <v>10.6</v>
      </c>
      <c r="AA68">
        <v>16.8</v>
      </c>
      <c r="AB68">
        <v>12.6</v>
      </c>
      <c r="AC68">
        <v>4.4000000000000004</v>
      </c>
      <c r="AD68">
        <v>5.3</v>
      </c>
      <c r="AE68">
        <v>2.4</v>
      </c>
      <c r="AF68">
        <v>20.3</v>
      </c>
      <c r="AG68">
        <v>4662</v>
      </c>
      <c r="AH68">
        <v>51</v>
      </c>
      <c r="AI68">
        <v>0</v>
      </c>
      <c r="AJ68">
        <v>35</v>
      </c>
      <c r="AK68">
        <v>1190</v>
      </c>
      <c r="AL68">
        <v>1472</v>
      </c>
      <c r="AM68">
        <v>622</v>
      </c>
      <c r="AN68">
        <v>362</v>
      </c>
      <c r="AO68">
        <v>154</v>
      </c>
      <c r="AP68">
        <v>49</v>
      </c>
      <c r="AQ68">
        <v>60</v>
      </c>
      <c r="AR68">
        <v>62</v>
      </c>
      <c r="AS68">
        <v>81</v>
      </c>
      <c r="AT68">
        <v>116</v>
      </c>
      <c r="AU68">
        <v>125</v>
      </c>
      <c r="AV68">
        <v>151</v>
      </c>
      <c r="AW68">
        <v>45</v>
      </c>
      <c r="AX68">
        <v>56</v>
      </c>
      <c r="AY68">
        <v>31</v>
      </c>
      <c r="AZ68">
        <v>22.2</v>
      </c>
      <c r="BA68">
        <v>78.099999999999994</v>
      </c>
      <c r="BB68">
        <v>1.4851048</v>
      </c>
      <c r="BC68">
        <v>0.99999499000000003</v>
      </c>
      <c r="BD68">
        <v>1</v>
      </c>
      <c r="BE68">
        <v>0</v>
      </c>
      <c r="BF68">
        <v>6</v>
      </c>
      <c r="BG68">
        <v>14</v>
      </c>
      <c r="BH68">
        <v>11972</v>
      </c>
      <c r="BI68">
        <v>18123.29</v>
      </c>
      <c r="BJ68">
        <f t="shared" si="4"/>
        <v>0.58036870595257273</v>
      </c>
      <c r="BK68" s="10">
        <f t="shared" si="5"/>
        <v>8.7378640776699032E-3</v>
      </c>
      <c r="BL68">
        <f t="shared" si="6"/>
        <v>2662</v>
      </c>
      <c r="BM68">
        <f t="shared" si="7"/>
        <v>1</v>
      </c>
      <c r="BQ68">
        <v>18015</v>
      </c>
      <c r="BR68">
        <v>0.58036870595257273</v>
      </c>
      <c r="BS68">
        <v>2662</v>
      </c>
      <c r="BT68">
        <v>-71.09375</v>
      </c>
      <c r="BU68">
        <v>71.470923999999997</v>
      </c>
      <c r="BV68">
        <v>1.4851048</v>
      </c>
    </row>
    <row r="69" spans="1:74" x14ac:dyDescent="0.2">
      <c r="A69" t="s">
        <v>165</v>
      </c>
      <c r="B69">
        <v>6965</v>
      </c>
      <c r="C69">
        <v>42.349429999999998</v>
      </c>
      <c r="D69">
        <v>-71.09375</v>
      </c>
      <c r="E69">
        <v>70.839995999999999</v>
      </c>
      <c r="F69">
        <v>2125</v>
      </c>
      <c r="G69">
        <v>71.470923999999997</v>
      </c>
      <c r="H69">
        <v>101.04</v>
      </c>
      <c r="I69">
        <v>10</v>
      </c>
      <c r="J69" t="s">
        <v>90</v>
      </c>
      <c r="K69" t="s">
        <v>91</v>
      </c>
      <c r="L69">
        <v>2.8858789999999999E-2</v>
      </c>
      <c r="M69">
        <v>2</v>
      </c>
      <c r="N69">
        <v>2266</v>
      </c>
      <c r="O69">
        <v>12.3</v>
      </c>
      <c r="P69">
        <v>10</v>
      </c>
      <c r="Q69">
        <v>2.2999999999999998</v>
      </c>
      <c r="R69">
        <v>26.1</v>
      </c>
      <c r="S69">
        <v>36.4</v>
      </c>
      <c r="T69">
        <v>3.9</v>
      </c>
      <c r="U69">
        <v>1.5</v>
      </c>
      <c r="V69">
        <v>19.8</v>
      </c>
      <c r="W69">
        <v>24.2</v>
      </c>
      <c r="X69">
        <v>7.7</v>
      </c>
      <c r="Y69">
        <v>16</v>
      </c>
      <c r="Z69">
        <v>10.6</v>
      </c>
      <c r="AA69">
        <v>16.8</v>
      </c>
      <c r="AB69">
        <v>12.6</v>
      </c>
      <c r="AC69">
        <v>4.4000000000000004</v>
      </c>
      <c r="AD69">
        <v>5.3</v>
      </c>
      <c r="AE69">
        <v>2.4</v>
      </c>
      <c r="AF69">
        <v>20.3</v>
      </c>
      <c r="AG69">
        <v>4662</v>
      </c>
      <c r="AH69">
        <v>51</v>
      </c>
      <c r="AI69">
        <v>0</v>
      </c>
      <c r="AJ69">
        <v>35</v>
      </c>
      <c r="AK69">
        <v>1190</v>
      </c>
      <c r="AL69">
        <v>1472</v>
      </c>
      <c r="AM69">
        <v>622</v>
      </c>
      <c r="AN69">
        <v>362</v>
      </c>
      <c r="AO69">
        <v>154</v>
      </c>
      <c r="AP69">
        <v>49</v>
      </c>
      <c r="AQ69">
        <v>60</v>
      </c>
      <c r="AR69">
        <v>62</v>
      </c>
      <c r="AS69">
        <v>81</v>
      </c>
      <c r="AT69">
        <v>116</v>
      </c>
      <c r="AU69">
        <v>125</v>
      </c>
      <c r="AV69">
        <v>151</v>
      </c>
      <c r="AW69">
        <v>45</v>
      </c>
      <c r="AX69">
        <v>56</v>
      </c>
      <c r="AY69">
        <v>31</v>
      </c>
      <c r="AZ69">
        <v>22.2</v>
      </c>
      <c r="BA69">
        <v>78.099999999999994</v>
      </c>
      <c r="BB69">
        <v>1.4851048</v>
      </c>
      <c r="BC69">
        <v>0.99999499000000003</v>
      </c>
      <c r="BD69">
        <v>1</v>
      </c>
      <c r="BE69">
        <v>0</v>
      </c>
      <c r="BF69">
        <v>5</v>
      </c>
      <c r="BG69">
        <v>13</v>
      </c>
      <c r="BH69">
        <v>13491.8</v>
      </c>
      <c r="BI69">
        <v>18631.150000000001</v>
      </c>
      <c r="BJ69">
        <f t="shared" si="4"/>
        <v>0.58036870595257273</v>
      </c>
      <c r="BK69" s="10">
        <f t="shared" si="5"/>
        <v>8.7378640776699032E-3</v>
      </c>
      <c r="BL69">
        <f t="shared" si="6"/>
        <v>2662</v>
      </c>
      <c r="BM69">
        <f t="shared" si="7"/>
        <v>1</v>
      </c>
      <c r="BQ69">
        <v>6965</v>
      </c>
      <c r="BR69">
        <v>0.58036870595257273</v>
      </c>
      <c r="BS69">
        <v>2662</v>
      </c>
      <c r="BT69">
        <v>-71.09375</v>
      </c>
      <c r="BU69">
        <v>71.470923999999997</v>
      </c>
      <c r="BV69">
        <v>1.4851048</v>
      </c>
    </row>
    <row r="70" spans="1:74" x14ac:dyDescent="0.2">
      <c r="A70" t="s">
        <v>166</v>
      </c>
      <c r="B70">
        <v>621</v>
      </c>
      <c r="C70">
        <v>42.290244999999999</v>
      </c>
      <c r="D70">
        <v>-71.135033000000007</v>
      </c>
      <c r="E70">
        <v>277.73000999999999</v>
      </c>
      <c r="F70">
        <v>2264</v>
      </c>
      <c r="G70">
        <v>18.996866000000001</v>
      </c>
      <c r="H70">
        <v>1106.07</v>
      </c>
      <c r="I70">
        <v>10</v>
      </c>
      <c r="J70" t="s">
        <v>68</v>
      </c>
      <c r="K70" t="s">
        <v>69</v>
      </c>
      <c r="L70">
        <v>1.2445025000000001</v>
      </c>
      <c r="M70">
        <v>0</v>
      </c>
      <c r="N70">
        <v>3146</v>
      </c>
      <c r="O70">
        <v>51.1</v>
      </c>
      <c r="P70">
        <v>49.3</v>
      </c>
      <c r="Q70">
        <v>1.7</v>
      </c>
      <c r="R70">
        <v>14.9</v>
      </c>
      <c r="S70">
        <v>5.8</v>
      </c>
      <c r="T70">
        <v>4.5</v>
      </c>
      <c r="U70">
        <v>0.6</v>
      </c>
      <c r="V70">
        <v>23.1</v>
      </c>
      <c r="W70">
        <v>3.4</v>
      </c>
      <c r="X70">
        <v>4.2</v>
      </c>
      <c r="Y70">
        <v>8</v>
      </c>
      <c r="Z70">
        <v>8.4</v>
      </c>
      <c r="AA70">
        <v>14.3</v>
      </c>
      <c r="AB70">
        <v>17.600000000000001</v>
      </c>
      <c r="AC70">
        <v>14.2</v>
      </c>
      <c r="AD70">
        <v>19.899999999999999</v>
      </c>
      <c r="AE70">
        <v>10</v>
      </c>
      <c r="AF70">
        <v>33</v>
      </c>
      <c r="AG70">
        <v>5316</v>
      </c>
      <c r="AH70">
        <v>478</v>
      </c>
      <c r="AI70">
        <v>159</v>
      </c>
      <c r="AJ70">
        <v>171</v>
      </c>
      <c r="AK70">
        <v>203</v>
      </c>
      <c r="AL70">
        <v>211</v>
      </c>
      <c r="AM70">
        <v>479</v>
      </c>
      <c r="AN70">
        <v>448</v>
      </c>
      <c r="AO70">
        <v>796</v>
      </c>
      <c r="AP70">
        <v>221</v>
      </c>
      <c r="AQ70">
        <v>230</v>
      </c>
      <c r="AR70">
        <v>325</v>
      </c>
      <c r="AS70">
        <v>370</v>
      </c>
      <c r="AT70">
        <v>305</v>
      </c>
      <c r="AU70">
        <v>248</v>
      </c>
      <c r="AV70">
        <v>173</v>
      </c>
      <c r="AW70">
        <v>137</v>
      </c>
      <c r="AX70">
        <v>122</v>
      </c>
      <c r="AY70">
        <v>240</v>
      </c>
      <c r="AZ70">
        <v>37.200000000000003</v>
      </c>
      <c r="BA70">
        <v>77.2</v>
      </c>
      <c r="BB70">
        <v>5.7121810999999996</v>
      </c>
      <c r="BC70">
        <v>3.6190839000000001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f t="shared" si="4"/>
        <v>3.798341505355455</v>
      </c>
      <c r="BK70" s="10">
        <f t="shared" si="5"/>
        <v>7.3426573426573433E-3</v>
      </c>
      <c r="BL70">
        <f t="shared" si="6"/>
        <v>414</v>
      </c>
      <c r="BM70">
        <f t="shared" si="7"/>
        <v>0</v>
      </c>
      <c r="BQ70">
        <v>621</v>
      </c>
      <c r="BR70">
        <v>3.798341505355455</v>
      </c>
      <c r="BS70">
        <v>414</v>
      </c>
      <c r="BT70">
        <v>-71.135033000000007</v>
      </c>
      <c r="BU70">
        <v>18.996866000000001</v>
      </c>
      <c r="BV70">
        <v>5.7121810999999996</v>
      </c>
    </row>
    <row r="71" spans="1:74" x14ac:dyDescent="0.2">
      <c r="A71" t="s">
        <v>167</v>
      </c>
      <c r="B71">
        <v>29627</v>
      </c>
      <c r="C71">
        <v>42.343273000000003</v>
      </c>
      <c r="D71">
        <v>-71.099441999999996</v>
      </c>
      <c r="E71">
        <v>45.16</v>
      </c>
      <c r="F71">
        <v>3272</v>
      </c>
      <c r="G71">
        <v>108.63596</v>
      </c>
      <c r="H71">
        <v>102.05</v>
      </c>
      <c r="I71">
        <v>10</v>
      </c>
      <c r="J71" t="s">
        <v>104</v>
      </c>
      <c r="K71" t="s">
        <v>75</v>
      </c>
      <c r="L71">
        <v>0.24284965</v>
      </c>
      <c r="M71">
        <v>1</v>
      </c>
      <c r="N71">
        <v>2616</v>
      </c>
      <c r="O71">
        <v>3</v>
      </c>
      <c r="P71">
        <v>3</v>
      </c>
      <c r="Q71">
        <v>0</v>
      </c>
      <c r="R71">
        <v>23.7</v>
      </c>
      <c r="S71">
        <v>43.3</v>
      </c>
      <c r="T71">
        <v>8.6</v>
      </c>
      <c r="U71">
        <v>2.8</v>
      </c>
      <c r="V71">
        <v>18.600000000000001</v>
      </c>
      <c r="W71">
        <v>7</v>
      </c>
      <c r="X71">
        <v>14.2</v>
      </c>
      <c r="Y71">
        <v>18.600000000000001</v>
      </c>
      <c r="Z71">
        <v>8.3000000000000007</v>
      </c>
      <c r="AA71">
        <v>6.3</v>
      </c>
      <c r="AB71">
        <v>17.899999999999999</v>
      </c>
      <c r="AC71">
        <v>21.8</v>
      </c>
      <c r="AD71">
        <v>2.6</v>
      </c>
      <c r="AE71">
        <v>3.1</v>
      </c>
      <c r="AF71">
        <v>25.1</v>
      </c>
      <c r="AG71">
        <v>3850</v>
      </c>
      <c r="AH71">
        <v>54</v>
      </c>
      <c r="AI71">
        <v>28</v>
      </c>
      <c r="AJ71">
        <v>52</v>
      </c>
      <c r="AK71">
        <v>86</v>
      </c>
      <c r="AL71">
        <v>460</v>
      </c>
      <c r="AM71">
        <v>990</v>
      </c>
      <c r="AN71">
        <v>744</v>
      </c>
      <c r="AO71">
        <v>655</v>
      </c>
      <c r="AP71">
        <v>245</v>
      </c>
      <c r="AQ71">
        <v>74</v>
      </c>
      <c r="AR71">
        <v>13</v>
      </c>
      <c r="AS71">
        <v>44</v>
      </c>
      <c r="AT71">
        <v>56</v>
      </c>
      <c r="AU71">
        <v>72</v>
      </c>
      <c r="AV71">
        <v>109</v>
      </c>
      <c r="AW71">
        <v>62</v>
      </c>
      <c r="AX71">
        <v>18</v>
      </c>
      <c r="AY71">
        <v>88</v>
      </c>
      <c r="AZ71">
        <v>31.6</v>
      </c>
      <c r="BA71">
        <v>97.2</v>
      </c>
      <c r="BB71">
        <v>1.9071534000000001</v>
      </c>
      <c r="BC71">
        <v>0.48576965999999999</v>
      </c>
      <c r="BD71">
        <v>1</v>
      </c>
      <c r="BE71">
        <v>0</v>
      </c>
      <c r="BF71">
        <v>2</v>
      </c>
      <c r="BG71">
        <v>17</v>
      </c>
      <c r="BH71">
        <v>4329</v>
      </c>
      <c r="BI71">
        <v>12553.06</v>
      </c>
      <c r="BJ71">
        <f t="shared" si="4"/>
        <v>0.51481694845072157</v>
      </c>
      <c r="BK71" s="10">
        <f t="shared" si="5"/>
        <v>7.1100917431192664E-3</v>
      </c>
      <c r="BL71">
        <f t="shared" si="6"/>
        <v>546</v>
      </c>
      <c r="BM71">
        <f t="shared" si="7"/>
        <v>1</v>
      </c>
      <c r="BQ71">
        <v>29627</v>
      </c>
      <c r="BR71">
        <v>0.51481694845072157</v>
      </c>
      <c r="BS71">
        <v>546</v>
      </c>
      <c r="BT71">
        <v>-71.099441999999996</v>
      </c>
      <c r="BU71">
        <v>108.63596</v>
      </c>
      <c r="BV71">
        <v>1.9071534000000001</v>
      </c>
    </row>
    <row r="72" spans="1:74" x14ac:dyDescent="0.2">
      <c r="A72" t="s">
        <v>168</v>
      </c>
      <c r="B72">
        <v>15423</v>
      </c>
      <c r="C72">
        <v>42.346474000000001</v>
      </c>
      <c r="D72">
        <v>-71.103431999999998</v>
      </c>
      <c r="E72">
        <v>62.759998000000003</v>
      </c>
      <c r="F72">
        <v>1338</v>
      </c>
      <c r="G72">
        <v>54.859783</v>
      </c>
      <c r="H72">
        <v>102.04</v>
      </c>
      <c r="I72">
        <v>10</v>
      </c>
      <c r="J72" t="s">
        <v>124</v>
      </c>
      <c r="K72" t="s">
        <v>66</v>
      </c>
      <c r="L72">
        <v>0.12640220999999999</v>
      </c>
      <c r="M72">
        <v>3</v>
      </c>
      <c r="N72">
        <v>1396</v>
      </c>
      <c r="O72">
        <v>14.2</v>
      </c>
      <c r="P72">
        <v>9.5</v>
      </c>
      <c r="Q72">
        <v>4.7</v>
      </c>
      <c r="R72">
        <v>14.3</v>
      </c>
      <c r="S72">
        <v>48.6</v>
      </c>
      <c r="T72">
        <v>3.5</v>
      </c>
      <c r="U72">
        <v>3.3</v>
      </c>
      <c r="V72">
        <v>16.100000000000001</v>
      </c>
      <c r="W72">
        <v>15.5</v>
      </c>
      <c r="X72">
        <v>22.8</v>
      </c>
      <c r="Y72">
        <v>16.399999999999999</v>
      </c>
      <c r="Z72">
        <v>10.8</v>
      </c>
      <c r="AA72">
        <v>4.3</v>
      </c>
      <c r="AB72">
        <v>15.9</v>
      </c>
      <c r="AC72">
        <v>4.2</v>
      </c>
      <c r="AD72">
        <v>5.0999999999999996</v>
      </c>
      <c r="AE72">
        <v>5</v>
      </c>
      <c r="AF72">
        <v>23.3</v>
      </c>
      <c r="AG72">
        <v>3098</v>
      </c>
      <c r="AH72">
        <v>19</v>
      </c>
      <c r="AI72">
        <v>0</v>
      </c>
      <c r="AJ72">
        <v>8</v>
      </c>
      <c r="AK72">
        <v>1022</v>
      </c>
      <c r="AL72">
        <v>1186</v>
      </c>
      <c r="AM72">
        <v>307</v>
      </c>
      <c r="AN72">
        <v>221</v>
      </c>
      <c r="AO72">
        <v>122</v>
      </c>
      <c r="AP72">
        <v>12</v>
      </c>
      <c r="AQ72">
        <v>4</v>
      </c>
      <c r="AR72">
        <v>90</v>
      </c>
      <c r="AS72">
        <v>12</v>
      </c>
      <c r="AT72">
        <v>18</v>
      </c>
      <c r="AU72">
        <v>44</v>
      </c>
      <c r="AV72">
        <v>2</v>
      </c>
      <c r="AW72">
        <v>4</v>
      </c>
      <c r="AX72">
        <v>27</v>
      </c>
      <c r="AY72">
        <v>0</v>
      </c>
      <c r="AZ72">
        <v>21.2</v>
      </c>
      <c r="BA72">
        <v>65.2</v>
      </c>
      <c r="BB72">
        <v>2.0170113999999999</v>
      </c>
      <c r="BC72">
        <v>0.60518353999999996</v>
      </c>
      <c r="BD72">
        <v>1</v>
      </c>
      <c r="BE72">
        <v>0</v>
      </c>
      <c r="BF72">
        <v>7</v>
      </c>
      <c r="BG72">
        <v>17</v>
      </c>
      <c r="BH72">
        <v>15189.86</v>
      </c>
      <c r="BI72">
        <v>12345.12</v>
      </c>
      <c r="BJ72">
        <f t="shared" si="4"/>
        <v>0.25405605411544441</v>
      </c>
      <c r="BK72" s="10">
        <f t="shared" si="5"/>
        <v>1.1532951289398281E-2</v>
      </c>
      <c r="BL72">
        <f t="shared" si="6"/>
        <v>2208</v>
      </c>
      <c r="BM72">
        <f t="shared" si="7"/>
        <v>1</v>
      </c>
      <c r="BQ72">
        <v>15423</v>
      </c>
      <c r="BR72">
        <v>0.25405605411544441</v>
      </c>
      <c r="BS72">
        <v>2208</v>
      </c>
      <c r="BT72">
        <v>-71.103431999999998</v>
      </c>
      <c r="BU72">
        <v>54.859783</v>
      </c>
      <c r="BV72">
        <v>2.0170113999999999</v>
      </c>
    </row>
    <row r="73" spans="1:74" x14ac:dyDescent="0.2">
      <c r="A73" t="s">
        <v>169</v>
      </c>
      <c r="B73">
        <v>7099</v>
      </c>
      <c r="C73">
        <v>42.358626999999998</v>
      </c>
      <c r="D73">
        <v>-71.130898000000002</v>
      </c>
      <c r="E73">
        <v>150.13</v>
      </c>
      <c r="F73">
        <v>1524</v>
      </c>
      <c r="G73">
        <v>25.397987000000001</v>
      </c>
      <c r="H73">
        <v>8.0399999999999991</v>
      </c>
      <c r="I73">
        <v>10</v>
      </c>
      <c r="J73" t="s">
        <v>65</v>
      </c>
      <c r="K73" t="s">
        <v>66</v>
      </c>
      <c r="L73">
        <v>0.43031254000000002</v>
      </c>
      <c r="M73">
        <v>0</v>
      </c>
      <c r="N73">
        <v>1702</v>
      </c>
      <c r="O73">
        <v>40.1</v>
      </c>
      <c r="P73">
        <v>35</v>
      </c>
      <c r="Q73">
        <v>5.2</v>
      </c>
      <c r="R73">
        <v>18.399999999999999</v>
      </c>
      <c r="S73">
        <v>7.7</v>
      </c>
      <c r="T73">
        <v>7.4</v>
      </c>
      <c r="U73">
        <v>4.5999999999999996</v>
      </c>
      <c r="V73">
        <v>21.7</v>
      </c>
      <c r="W73">
        <v>1.9</v>
      </c>
      <c r="X73">
        <v>5.7</v>
      </c>
      <c r="Y73">
        <v>16.2</v>
      </c>
      <c r="Z73">
        <v>6.1</v>
      </c>
      <c r="AA73">
        <v>4.5999999999999996</v>
      </c>
      <c r="AB73">
        <v>19.2</v>
      </c>
      <c r="AC73">
        <v>7.1</v>
      </c>
      <c r="AD73">
        <v>18.100000000000001</v>
      </c>
      <c r="AE73">
        <v>21.2</v>
      </c>
      <c r="AF73">
        <v>38.6</v>
      </c>
      <c r="AG73">
        <v>3238</v>
      </c>
      <c r="AH73">
        <v>94</v>
      </c>
      <c r="AI73">
        <v>0</v>
      </c>
      <c r="AJ73">
        <v>126</v>
      </c>
      <c r="AK73">
        <v>324</v>
      </c>
      <c r="AL73">
        <v>392</v>
      </c>
      <c r="AM73">
        <v>662</v>
      </c>
      <c r="AN73">
        <v>436</v>
      </c>
      <c r="AO73">
        <v>333</v>
      </c>
      <c r="AP73">
        <v>85</v>
      </c>
      <c r="AQ73">
        <v>41</v>
      </c>
      <c r="AR73">
        <v>255</v>
      </c>
      <c r="AS73">
        <v>206</v>
      </c>
      <c r="AT73">
        <v>42</v>
      </c>
      <c r="AU73">
        <v>156</v>
      </c>
      <c r="AV73">
        <v>19</v>
      </c>
      <c r="AW73">
        <v>35</v>
      </c>
      <c r="AX73">
        <v>0</v>
      </c>
      <c r="AY73">
        <v>32</v>
      </c>
      <c r="AZ73">
        <v>30.2</v>
      </c>
      <c r="BA73">
        <v>97.2</v>
      </c>
      <c r="BB73">
        <v>3.3381047000000001</v>
      </c>
      <c r="BC73">
        <v>1.9351178</v>
      </c>
      <c r="BD73">
        <v>1</v>
      </c>
      <c r="BE73">
        <v>0</v>
      </c>
      <c r="BF73">
        <v>1</v>
      </c>
      <c r="BG73">
        <v>13</v>
      </c>
      <c r="BH73">
        <v>8374</v>
      </c>
      <c r="BI73">
        <v>6627.5389999999998</v>
      </c>
      <c r="BJ73">
        <f t="shared" si="4"/>
        <v>1.1922935720211669</v>
      </c>
      <c r="BK73" s="10">
        <f t="shared" si="5"/>
        <v>1.2749706227967098E-2</v>
      </c>
      <c r="BL73">
        <f t="shared" si="6"/>
        <v>716</v>
      </c>
      <c r="BM73">
        <f t="shared" si="7"/>
        <v>1</v>
      </c>
      <c r="BQ73">
        <v>7099</v>
      </c>
      <c r="BR73">
        <v>1.1922935720211669</v>
      </c>
      <c r="BS73">
        <v>716</v>
      </c>
      <c r="BT73">
        <v>-71.130898000000002</v>
      </c>
      <c r="BU73">
        <v>25.397987000000001</v>
      </c>
      <c r="BV73">
        <v>3.3381047000000001</v>
      </c>
    </row>
    <row r="74" spans="1:74" x14ac:dyDescent="0.2">
      <c r="A74" t="s">
        <v>170</v>
      </c>
      <c r="B74">
        <v>24250</v>
      </c>
      <c r="C74">
        <v>42.339419999999997</v>
      </c>
      <c r="D74">
        <v>-71.101821999999999</v>
      </c>
      <c r="E74">
        <v>125.33</v>
      </c>
      <c r="F74">
        <v>366</v>
      </c>
      <c r="G74">
        <v>41.378760999999997</v>
      </c>
      <c r="H74">
        <v>103</v>
      </c>
      <c r="I74">
        <v>10</v>
      </c>
      <c r="J74" t="s">
        <v>93</v>
      </c>
      <c r="K74" t="s">
        <v>94</v>
      </c>
      <c r="L74">
        <v>0.30138725</v>
      </c>
      <c r="M74">
        <v>0</v>
      </c>
      <c r="N74">
        <v>2288</v>
      </c>
      <c r="O74">
        <v>10.5</v>
      </c>
      <c r="P74">
        <v>8.8000000000000007</v>
      </c>
      <c r="Q74">
        <v>1.7</v>
      </c>
      <c r="R74">
        <v>13.5</v>
      </c>
      <c r="S74">
        <v>63.4</v>
      </c>
      <c r="T74">
        <v>1.3</v>
      </c>
      <c r="U74">
        <v>0.7</v>
      </c>
      <c r="V74">
        <v>10.5</v>
      </c>
      <c r="W74">
        <v>38.799999999999997</v>
      </c>
      <c r="X74">
        <v>16.5</v>
      </c>
      <c r="Y74">
        <v>13.5</v>
      </c>
      <c r="Z74">
        <v>11.5</v>
      </c>
      <c r="AA74">
        <v>3.3</v>
      </c>
      <c r="AB74">
        <v>8.4</v>
      </c>
      <c r="AC74">
        <v>3</v>
      </c>
      <c r="AD74">
        <v>1.7</v>
      </c>
      <c r="AE74">
        <v>3.5</v>
      </c>
      <c r="AF74">
        <v>16.100000000000001</v>
      </c>
      <c r="AG74">
        <v>5099</v>
      </c>
      <c r="AH74">
        <v>100</v>
      </c>
      <c r="AI74">
        <v>0</v>
      </c>
      <c r="AJ74">
        <v>6</v>
      </c>
      <c r="AK74">
        <v>2484</v>
      </c>
      <c r="AL74">
        <v>2081</v>
      </c>
      <c r="AM74">
        <v>159</v>
      </c>
      <c r="AN74">
        <v>101</v>
      </c>
      <c r="AO74">
        <v>52</v>
      </c>
      <c r="AP74">
        <v>10</v>
      </c>
      <c r="AQ74">
        <v>11</v>
      </c>
      <c r="AR74">
        <v>16</v>
      </c>
      <c r="AS74">
        <v>10</v>
      </c>
      <c r="AT74">
        <v>33</v>
      </c>
      <c r="AU74">
        <v>5</v>
      </c>
      <c r="AV74">
        <v>18</v>
      </c>
      <c r="AW74">
        <v>0</v>
      </c>
      <c r="AX74">
        <v>0</v>
      </c>
      <c r="AY74">
        <v>13</v>
      </c>
      <c r="AZ74">
        <v>20</v>
      </c>
      <c r="BA74">
        <v>62.1</v>
      </c>
      <c r="BB74">
        <v>2.1394180999999999</v>
      </c>
      <c r="BC74">
        <v>0.21662097</v>
      </c>
      <c r="BD74">
        <v>1</v>
      </c>
      <c r="BE74">
        <v>0</v>
      </c>
      <c r="BF74">
        <v>2</v>
      </c>
      <c r="BG74">
        <v>12</v>
      </c>
      <c r="BH74">
        <v>13711.5</v>
      </c>
      <c r="BI74">
        <v>10306.58</v>
      </c>
      <c r="BJ74">
        <f t="shared" si="4"/>
        <v>0.66705080896030267</v>
      </c>
      <c r="BK74" s="10">
        <f t="shared" si="5"/>
        <v>4.589160839160839E-3</v>
      </c>
      <c r="BL74">
        <f t="shared" si="6"/>
        <v>4565</v>
      </c>
      <c r="BM74">
        <f t="shared" si="7"/>
        <v>1</v>
      </c>
      <c r="BQ74">
        <v>24250</v>
      </c>
      <c r="BR74">
        <v>0.66705080896030267</v>
      </c>
      <c r="BS74">
        <v>4565</v>
      </c>
      <c r="BT74">
        <v>-71.101821999999999</v>
      </c>
      <c r="BU74">
        <v>41.378760999999997</v>
      </c>
      <c r="BV74">
        <v>2.1394180999999999</v>
      </c>
    </row>
    <row r="75" spans="1:74" x14ac:dyDescent="0.2">
      <c r="A75" t="s">
        <v>171</v>
      </c>
      <c r="B75">
        <v>13720</v>
      </c>
      <c r="C75">
        <v>42.338776000000003</v>
      </c>
      <c r="D75">
        <v>-71.117393000000007</v>
      </c>
      <c r="E75">
        <v>144.5</v>
      </c>
      <c r="F75">
        <v>2809</v>
      </c>
      <c r="G75">
        <v>42.055363</v>
      </c>
      <c r="H75">
        <v>4008</v>
      </c>
      <c r="I75">
        <v>4</v>
      </c>
      <c r="J75" t="s">
        <v>134</v>
      </c>
      <c r="K75" t="s">
        <v>63</v>
      </c>
      <c r="L75">
        <v>0.14542578</v>
      </c>
      <c r="M75">
        <v>1</v>
      </c>
      <c r="N75">
        <v>3601</v>
      </c>
      <c r="O75">
        <v>13.1</v>
      </c>
      <c r="P75">
        <v>11.6</v>
      </c>
      <c r="Q75">
        <v>1.5</v>
      </c>
      <c r="R75">
        <v>20.5</v>
      </c>
      <c r="S75">
        <v>24.5</v>
      </c>
      <c r="T75">
        <v>8.1999999999999993</v>
      </c>
      <c r="U75">
        <v>2.1</v>
      </c>
      <c r="V75">
        <v>31.5</v>
      </c>
      <c r="W75">
        <v>4.9000000000000002E-2</v>
      </c>
      <c r="X75">
        <v>7.6999999999999999E-2</v>
      </c>
      <c r="Y75">
        <v>0.193</v>
      </c>
      <c r="Z75">
        <v>0.17799999999999999</v>
      </c>
      <c r="AA75">
        <v>0.09</v>
      </c>
      <c r="AB75">
        <v>0.192</v>
      </c>
      <c r="AC75">
        <v>0.14599999999999999</v>
      </c>
      <c r="AD75">
        <v>4.4999999999999998E-2</v>
      </c>
      <c r="AE75">
        <v>2.9000000000000001E-2</v>
      </c>
      <c r="AF75">
        <v>25.2</v>
      </c>
      <c r="AG75">
        <v>5948</v>
      </c>
      <c r="AH75">
        <v>411</v>
      </c>
      <c r="AI75">
        <v>264</v>
      </c>
      <c r="AJ75">
        <v>233</v>
      </c>
      <c r="AK75">
        <v>191</v>
      </c>
      <c r="AL75">
        <v>712</v>
      </c>
      <c r="AM75">
        <v>579</v>
      </c>
      <c r="AN75">
        <v>493</v>
      </c>
      <c r="AO75">
        <v>611</v>
      </c>
      <c r="AP75">
        <v>379</v>
      </c>
      <c r="AQ75">
        <v>316</v>
      </c>
      <c r="AR75">
        <v>291</v>
      </c>
      <c r="AS75">
        <v>412</v>
      </c>
      <c r="AT75">
        <v>182</v>
      </c>
      <c r="AU75">
        <v>202</v>
      </c>
      <c r="AV75">
        <v>217</v>
      </c>
      <c r="AW75">
        <v>320</v>
      </c>
      <c r="AX75">
        <v>88</v>
      </c>
      <c r="AY75">
        <v>47</v>
      </c>
      <c r="AZ75">
        <v>36.1</v>
      </c>
      <c r="BA75">
        <v>77.7</v>
      </c>
      <c r="BB75">
        <v>2.8709166000000002</v>
      </c>
      <c r="BC75">
        <v>0.61125969999999996</v>
      </c>
      <c r="BD75">
        <v>0</v>
      </c>
      <c r="BE75">
        <v>0</v>
      </c>
      <c r="BF75">
        <v>1</v>
      </c>
      <c r="BG75">
        <v>4</v>
      </c>
      <c r="BH75">
        <v>15460</v>
      </c>
      <c r="BI75">
        <v>10089.75</v>
      </c>
      <c r="BJ75">
        <f t="shared" si="4"/>
        <v>0.81715164975196641</v>
      </c>
      <c r="BK75" s="10">
        <f t="shared" si="5"/>
        <v>8.7475701194112739E-3</v>
      </c>
      <c r="BL75">
        <f t="shared" si="6"/>
        <v>903</v>
      </c>
      <c r="BM75">
        <f t="shared" si="7"/>
        <v>1</v>
      </c>
      <c r="BQ75">
        <v>13720</v>
      </c>
      <c r="BR75">
        <v>0.81715164975196641</v>
      </c>
      <c r="BS75">
        <v>903</v>
      </c>
      <c r="BT75">
        <v>-71.117393000000007</v>
      </c>
      <c r="BU75">
        <v>42.055363</v>
      </c>
      <c r="BV75">
        <v>2.8709166000000002</v>
      </c>
    </row>
    <row r="76" spans="1:74" x14ac:dyDescent="0.2">
      <c r="A76" t="s">
        <v>172</v>
      </c>
      <c r="B76">
        <v>1157</v>
      </c>
      <c r="C76">
        <v>42.352603999999999</v>
      </c>
      <c r="D76">
        <v>-71.154342999999997</v>
      </c>
      <c r="E76">
        <v>148.66</v>
      </c>
      <c r="F76">
        <v>1606</v>
      </c>
      <c r="G76">
        <v>27.902595999999999</v>
      </c>
      <c r="H76">
        <v>2.02</v>
      </c>
      <c r="I76">
        <v>10</v>
      </c>
      <c r="J76" t="s">
        <v>88</v>
      </c>
      <c r="K76" t="s">
        <v>66</v>
      </c>
      <c r="L76">
        <v>0.73179590999999999</v>
      </c>
      <c r="M76">
        <v>0</v>
      </c>
      <c r="N76">
        <v>2221</v>
      </c>
      <c r="O76">
        <v>51.5</v>
      </c>
      <c r="P76">
        <v>46.6</v>
      </c>
      <c r="Q76">
        <v>4.9000000000000004</v>
      </c>
      <c r="R76">
        <v>22.8</v>
      </c>
      <c r="S76">
        <v>7.7</v>
      </c>
      <c r="T76">
        <v>0.4</v>
      </c>
      <c r="U76">
        <v>0</v>
      </c>
      <c r="V76">
        <v>17.600000000000001</v>
      </c>
      <c r="W76">
        <v>6.3</v>
      </c>
      <c r="X76">
        <v>9.8000000000000007</v>
      </c>
      <c r="Y76">
        <v>4</v>
      </c>
      <c r="Z76">
        <v>19.8</v>
      </c>
      <c r="AA76">
        <v>3.7</v>
      </c>
      <c r="AB76">
        <v>14.2</v>
      </c>
      <c r="AC76">
        <v>8.9</v>
      </c>
      <c r="AD76">
        <v>19</v>
      </c>
      <c r="AE76">
        <v>14.3</v>
      </c>
      <c r="AF76">
        <v>34.4</v>
      </c>
      <c r="AG76">
        <v>3703</v>
      </c>
      <c r="AH76">
        <v>211</v>
      </c>
      <c r="AI76">
        <v>162</v>
      </c>
      <c r="AJ76">
        <v>201</v>
      </c>
      <c r="AK76">
        <v>140</v>
      </c>
      <c r="AL76">
        <v>556</v>
      </c>
      <c r="AM76">
        <v>571</v>
      </c>
      <c r="AN76">
        <v>453</v>
      </c>
      <c r="AO76">
        <v>245</v>
      </c>
      <c r="AP76">
        <v>209</v>
      </c>
      <c r="AQ76">
        <v>162</v>
      </c>
      <c r="AR76">
        <v>100</v>
      </c>
      <c r="AS76">
        <v>117</v>
      </c>
      <c r="AT76">
        <v>42</v>
      </c>
      <c r="AU76">
        <v>87</v>
      </c>
      <c r="AV76">
        <v>141</v>
      </c>
      <c r="AW76">
        <v>78</v>
      </c>
      <c r="AX76">
        <v>32</v>
      </c>
      <c r="AY76">
        <v>196</v>
      </c>
      <c r="AZ76">
        <v>30.1</v>
      </c>
      <c r="BA76">
        <v>93.2</v>
      </c>
      <c r="BB76">
        <v>4.5298075999999998</v>
      </c>
      <c r="BC76">
        <v>2.6951101</v>
      </c>
      <c r="BD76">
        <v>1</v>
      </c>
      <c r="BE76">
        <v>0</v>
      </c>
      <c r="BF76">
        <v>1</v>
      </c>
      <c r="BG76">
        <v>6</v>
      </c>
      <c r="BH76">
        <v>7734</v>
      </c>
      <c r="BI76">
        <v>3443.3330000000001</v>
      </c>
      <c r="BJ76">
        <f t="shared" si="4"/>
        <v>2.1182023444702223</v>
      </c>
      <c r="BK76" s="10">
        <f t="shared" si="5"/>
        <v>7.9243583971184157E-3</v>
      </c>
      <c r="BL76">
        <f t="shared" si="6"/>
        <v>696</v>
      </c>
      <c r="BM76">
        <f t="shared" si="7"/>
        <v>1</v>
      </c>
      <c r="BQ76">
        <v>1157</v>
      </c>
      <c r="BR76">
        <v>2.1182023444702223</v>
      </c>
      <c r="BS76">
        <v>696</v>
      </c>
      <c r="BT76">
        <v>-71.154342999999997</v>
      </c>
      <c r="BU76">
        <v>27.902595999999999</v>
      </c>
      <c r="BV76">
        <v>4.5298075999999998</v>
      </c>
    </row>
    <row r="77" spans="1:74" x14ac:dyDescent="0.2">
      <c r="A77" t="s">
        <v>173</v>
      </c>
      <c r="B77">
        <v>3294</v>
      </c>
      <c r="C77">
        <v>42.324364000000003</v>
      </c>
      <c r="D77">
        <v>-71.103752</v>
      </c>
      <c r="E77">
        <v>66.529999000000004</v>
      </c>
      <c r="F77">
        <v>1378</v>
      </c>
      <c r="G77">
        <v>52.698031999999998</v>
      </c>
      <c r="H77">
        <v>812</v>
      </c>
      <c r="I77">
        <v>10</v>
      </c>
      <c r="J77" t="s">
        <v>161</v>
      </c>
      <c r="K77" t="s">
        <v>69</v>
      </c>
      <c r="L77">
        <v>0.13929820000000001</v>
      </c>
      <c r="M77">
        <v>1</v>
      </c>
      <c r="N77">
        <v>1464</v>
      </c>
      <c r="O77">
        <v>35.799999999999997</v>
      </c>
      <c r="P77">
        <v>31.8</v>
      </c>
      <c r="Q77">
        <v>4</v>
      </c>
      <c r="R77">
        <v>36.799999999999997</v>
      </c>
      <c r="S77">
        <v>16.100000000000001</v>
      </c>
      <c r="T77">
        <v>4.5</v>
      </c>
      <c r="U77">
        <v>0.2</v>
      </c>
      <c r="V77">
        <v>6.6</v>
      </c>
      <c r="W77">
        <v>3.7</v>
      </c>
      <c r="X77">
        <v>11.5</v>
      </c>
      <c r="Y77">
        <v>20.3</v>
      </c>
      <c r="Z77">
        <v>7.2</v>
      </c>
      <c r="AA77">
        <v>4.5</v>
      </c>
      <c r="AB77">
        <v>22.7</v>
      </c>
      <c r="AC77">
        <v>4.2</v>
      </c>
      <c r="AD77">
        <v>15.1</v>
      </c>
      <c r="AE77">
        <v>10.7</v>
      </c>
      <c r="AF77">
        <v>29</v>
      </c>
      <c r="AG77">
        <v>3523</v>
      </c>
      <c r="AH77">
        <v>381</v>
      </c>
      <c r="AI77">
        <v>114</v>
      </c>
      <c r="AJ77">
        <v>406</v>
      </c>
      <c r="AK77">
        <v>230</v>
      </c>
      <c r="AL77">
        <v>233</v>
      </c>
      <c r="AM77">
        <v>305</v>
      </c>
      <c r="AN77">
        <v>419</v>
      </c>
      <c r="AO77">
        <v>257</v>
      </c>
      <c r="AP77">
        <v>171</v>
      </c>
      <c r="AQ77">
        <v>290</v>
      </c>
      <c r="AR77">
        <v>126</v>
      </c>
      <c r="AS77">
        <v>91</v>
      </c>
      <c r="AT77">
        <v>195</v>
      </c>
      <c r="AU77">
        <v>111</v>
      </c>
      <c r="AV77">
        <v>118</v>
      </c>
      <c r="AW77">
        <v>39</v>
      </c>
      <c r="AX77">
        <v>37</v>
      </c>
      <c r="AY77">
        <v>0</v>
      </c>
      <c r="AZ77">
        <v>31</v>
      </c>
      <c r="BA77">
        <v>81.599999999999994</v>
      </c>
      <c r="BB77">
        <v>2.8788855</v>
      </c>
      <c r="BC77">
        <v>0.93600499999999998</v>
      </c>
      <c r="BD77">
        <v>1</v>
      </c>
      <c r="BE77">
        <v>0</v>
      </c>
      <c r="BF77">
        <v>1</v>
      </c>
      <c r="BG77">
        <v>3</v>
      </c>
      <c r="BH77">
        <v>11133</v>
      </c>
      <c r="BI77">
        <v>8452.3330000000005</v>
      </c>
      <c r="BJ77">
        <f t="shared" si="4"/>
        <v>1.5402657958766695</v>
      </c>
      <c r="BK77" s="10">
        <f t="shared" si="5"/>
        <v>4.5081967213114749E-3</v>
      </c>
      <c r="BL77">
        <f t="shared" si="6"/>
        <v>463</v>
      </c>
      <c r="BM77">
        <f t="shared" si="7"/>
        <v>0</v>
      </c>
      <c r="BQ77">
        <v>3294</v>
      </c>
      <c r="BR77">
        <v>1.5402657958766695</v>
      </c>
      <c r="BS77">
        <v>463</v>
      </c>
      <c r="BT77">
        <v>-71.103752</v>
      </c>
      <c r="BU77">
        <v>52.698031999999998</v>
      </c>
      <c r="BV77">
        <v>2.8788855</v>
      </c>
    </row>
    <row r="78" spans="1:74" x14ac:dyDescent="0.2">
      <c r="A78" t="s">
        <v>174</v>
      </c>
      <c r="B78">
        <v>381</v>
      </c>
      <c r="C78">
        <v>42.286437999999997</v>
      </c>
      <c r="D78">
        <v>-71.122551000000001</v>
      </c>
      <c r="E78">
        <v>129.22</v>
      </c>
      <c r="F78">
        <v>1427</v>
      </c>
      <c r="G78">
        <v>28.052932999999999</v>
      </c>
      <c r="H78">
        <v>1104.01</v>
      </c>
      <c r="I78">
        <v>10</v>
      </c>
      <c r="J78" t="s">
        <v>68</v>
      </c>
      <c r="K78" t="s">
        <v>69</v>
      </c>
      <c r="L78">
        <v>1.1296147999999999</v>
      </c>
      <c r="M78">
        <v>0</v>
      </c>
      <c r="N78">
        <v>1889</v>
      </c>
      <c r="O78">
        <v>54.4</v>
      </c>
      <c r="P78">
        <v>52.2</v>
      </c>
      <c r="Q78">
        <v>2.2000000000000002</v>
      </c>
      <c r="R78">
        <v>23.4</v>
      </c>
      <c r="S78">
        <v>4.0999999999999996</v>
      </c>
      <c r="T78">
        <v>3</v>
      </c>
      <c r="U78">
        <v>0</v>
      </c>
      <c r="V78">
        <v>15</v>
      </c>
      <c r="W78">
        <v>2.9</v>
      </c>
      <c r="X78">
        <v>5.3</v>
      </c>
      <c r="Y78">
        <v>16.7</v>
      </c>
      <c r="Z78">
        <v>5</v>
      </c>
      <c r="AA78">
        <v>7</v>
      </c>
      <c r="AB78">
        <v>23.3</v>
      </c>
      <c r="AC78">
        <v>13</v>
      </c>
      <c r="AD78">
        <v>13.5</v>
      </c>
      <c r="AE78">
        <v>13.3</v>
      </c>
      <c r="AF78">
        <v>33.5</v>
      </c>
      <c r="AG78">
        <v>3508</v>
      </c>
      <c r="AH78">
        <v>275</v>
      </c>
      <c r="AI78">
        <v>240</v>
      </c>
      <c r="AJ78">
        <v>193</v>
      </c>
      <c r="AK78">
        <v>144</v>
      </c>
      <c r="AL78">
        <v>151</v>
      </c>
      <c r="AM78">
        <v>168</v>
      </c>
      <c r="AN78">
        <v>382</v>
      </c>
      <c r="AO78">
        <v>339</v>
      </c>
      <c r="AP78">
        <v>302</v>
      </c>
      <c r="AQ78">
        <v>249</v>
      </c>
      <c r="AR78">
        <v>107</v>
      </c>
      <c r="AS78">
        <v>391</v>
      </c>
      <c r="AT78">
        <v>194</v>
      </c>
      <c r="AU78">
        <v>126</v>
      </c>
      <c r="AV78">
        <v>100</v>
      </c>
      <c r="AW78">
        <v>33</v>
      </c>
      <c r="AX78">
        <v>57</v>
      </c>
      <c r="AY78">
        <v>57</v>
      </c>
      <c r="AZ78">
        <v>36.9</v>
      </c>
      <c r="BA78">
        <v>108.2</v>
      </c>
      <c r="BB78">
        <v>5.5628618999999997</v>
      </c>
      <c r="BC78">
        <v>3.6577367999999999</v>
      </c>
      <c r="BD78">
        <v>1</v>
      </c>
      <c r="BE78">
        <v>0</v>
      </c>
      <c r="BF78">
        <v>0</v>
      </c>
      <c r="BG78">
        <v>5</v>
      </c>
      <c r="BH78">
        <v>0</v>
      </c>
      <c r="BI78">
        <v>1138</v>
      </c>
      <c r="BJ78">
        <f t="shared" si="4"/>
        <v>3.8776468281658993</v>
      </c>
      <c r="BK78" s="10">
        <f t="shared" si="5"/>
        <v>7.9407093700370572E-3</v>
      </c>
      <c r="BL78">
        <f t="shared" si="6"/>
        <v>295</v>
      </c>
      <c r="BM78">
        <f t="shared" si="7"/>
        <v>0</v>
      </c>
      <c r="BQ78">
        <v>381</v>
      </c>
      <c r="BR78">
        <v>3.8776468281658993</v>
      </c>
      <c r="BS78">
        <v>295</v>
      </c>
      <c r="BT78">
        <v>-71.122551000000001</v>
      </c>
      <c r="BU78">
        <v>28.052932999999999</v>
      </c>
      <c r="BV78">
        <v>5.5628618999999997</v>
      </c>
    </row>
    <row r="79" spans="1:74" x14ac:dyDescent="0.2">
      <c r="A79" t="s">
        <v>175</v>
      </c>
      <c r="B79">
        <v>4066</v>
      </c>
      <c r="C79">
        <v>42.363678</v>
      </c>
      <c r="D79">
        <v>-71.126480000000001</v>
      </c>
      <c r="E79">
        <v>350.17000999999999</v>
      </c>
      <c r="F79">
        <v>1055</v>
      </c>
      <c r="G79">
        <v>5.6315502999999998</v>
      </c>
      <c r="H79">
        <v>8.06</v>
      </c>
      <c r="I79">
        <v>10</v>
      </c>
      <c r="J79" t="s">
        <v>65</v>
      </c>
      <c r="K79" t="s">
        <v>66</v>
      </c>
      <c r="L79">
        <v>1.0261444</v>
      </c>
      <c r="M79">
        <v>0</v>
      </c>
      <c r="N79">
        <v>888</v>
      </c>
      <c r="O79">
        <v>30.6</v>
      </c>
      <c r="P79">
        <v>30.6</v>
      </c>
      <c r="Q79">
        <v>0</v>
      </c>
      <c r="R79">
        <v>10.5</v>
      </c>
      <c r="S79">
        <v>32.799999999999997</v>
      </c>
      <c r="T79">
        <v>2.6</v>
      </c>
      <c r="U79">
        <v>0.8</v>
      </c>
      <c r="V79">
        <v>22.7</v>
      </c>
      <c r="W79">
        <v>24.5</v>
      </c>
      <c r="X79">
        <v>15.3</v>
      </c>
      <c r="Y79">
        <v>18.399999999999999</v>
      </c>
      <c r="Z79">
        <v>10.6</v>
      </c>
      <c r="AA79">
        <v>10.9</v>
      </c>
      <c r="AB79">
        <v>9.6</v>
      </c>
      <c r="AC79">
        <v>2.2999999999999998</v>
      </c>
      <c r="AD79">
        <v>6.1</v>
      </c>
      <c r="AE79">
        <v>2.2000000000000002</v>
      </c>
      <c r="AF79">
        <v>18.8</v>
      </c>
      <c r="AG79">
        <v>2273</v>
      </c>
      <c r="AH79">
        <v>96</v>
      </c>
      <c r="AI79">
        <v>46</v>
      </c>
      <c r="AJ79">
        <v>0</v>
      </c>
      <c r="AK79">
        <v>405</v>
      </c>
      <c r="AL79">
        <v>510</v>
      </c>
      <c r="AM79">
        <v>640</v>
      </c>
      <c r="AN79">
        <v>426</v>
      </c>
      <c r="AO79">
        <v>85</v>
      </c>
      <c r="AP79">
        <v>0</v>
      </c>
      <c r="AQ79">
        <v>47</v>
      </c>
      <c r="AR79">
        <v>0</v>
      </c>
      <c r="AS79">
        <v>0</v>
      </c>
      <c r="AT79">
        <v>0</v>
      </c>
      <c r="AU79">
        <v>18</v>
      </c>
      <c r="AV79">
        <v>0</v>
      </c>
      <c r="AW79">
        <v>0</v>
      </c>
      <c r="AX79">
        <v>0</v>
      </c>
      <c r="AY79">
        <v>0</v>
      </c>
      <c r="AZ79">
        <v>26.3</v>
      </c>
      <c r="BA79">
        <v>86.2</v>
      </c>
      <c r="BB79">
        <v>3.1596172</v>
      </c>
      <c r="BC79">
        <v>2.0818346000000001</v>
      </c>
      <c r="BD79">
        <v>1</v>
      </c>
      <c r="BE79">
        <v>0</v>
      </c>
      <c r="BF79">
        <v>3</v>
      </c>
      <c r="BG79">
        <v>8</v>
      </c>
      <c r="BH79">
        <v>11619.33</v>
      </c>
      <c r="BI79">
        <v>13182.75</v>
      </c>
      <c r="BJ79">
        <f t="shared" si="4"/>
        <v>1.2045524813601851</v>
      </c>
      <c r="BK79" s="10">
        <f t="shared" si="5"/>
        <v>2.5563063063063062E-2</v>
      </c>
      <c r="BL79">
        <f t="shared" si="6"/>
        <v>915</v>
      </c>
      <c r="BM79">
        <f t="shared" si="7"/>
        <v>1</v>
      </c>
      <c r="BQ79">
        <v>4066</v>
      </c>
      <c r="BR79">
        <v>1.2045524813601851</v>
      </c>
      <c r="BS79">
        <v>915</v>
      </c>
      <c r="BT79">
        <v>-71.126480000000001</v>
      </c>
      <c r="BU79">
        <v>5.6315502999999998</v>
      </c>
      <c r="BV79">
        <v>3.1596172</v>
      </c>
    </row>
    <row r="80" spans="1:74" x14ac:dyDescent="0.2">
      <c r="A80" t="s">
        <v>176</v>
      </c>
      <c r="B80">
        <v>5578</v>
      </c>
      <c r="C80">
        <v>42.359081000000003</v>
      </c>
      <c r="D80">
        <v>-71.143990000000002</v>
      </c>
      <c r="E80">
        <v>263.75</v>
      </c>
      <c r="F80">
        <v>1695</v>
      </c>
      <c r="G80">
        <v>14.081516000000001</v>
      </c>
      <c r="H80">
        <v>1.02</v>
      </c>
      <c r="I80">
        <v>10</v>
      </c>
      <c r="J80" t="s">
        <v>88</v>
      </c>
      <c r="K80" t="s">
        <v>66</v>
      </c>
      <c r="L80">
        <v>0.74804002000000003</v>
      </c>
      <c r="M80">
        <v>0</v>
      </c>
      <c r="N80">
        <v>2526</v>
      </c>
      <c r="O80">
        <v>57.5</v>
      </c>
      <c r="P80">
        <v>54.6</v>
      </c>
      <c r="Q80">
        <v>2.9</v>
      </c>
      <c r="R80">
        <v>22.5</v>
      </c>
      <c r="S80">
        <v>4.2</v>
      </c>
      <c r="T80">
        <v>2.7</v>
      </c>
      <c r="U80">
        <v>0</v>
      </c>
      <c r="V80">
        <v>13</v>
      </c>
      <c r="W80">
        <v>3.1</v>
      </c>
      <c r="X80">
        <v>9.4</v>
      </c>
      <c r="Y80">
        <v>23.9</v>
      </c>
      <c r="Z80">
        <v>9.5</v>
      </c>
      <c r="AA80">
        <v>5.8</v>
      </c>
      <c r="AB80">
        <v>17.5</v>
      </c>
      <c r="AC80">
        <v>15.8</v>
      </c>
      <c r="AD80">
        <v>10.4</v>
      </c>
      <c r="AE80">
        <v>4.5999999999999996</v>
      </c>
      <c r="AF80">
        <v>26.9</v>
      </c>
      <c r="AG80">
        <v>4023</v>
      </c>
      <c r="AH80">
        <v>112</v>
      </c>
      <c r="AI80">
        <v>86</v>
      </c>
      <c r="AJ80">
        <v>94</v>
      </c>
      <c r="AK80">
        <v>276</v>
      </c>
      <c r="AL80">
        <v>305</v>
      </c>
      <c r="AM80">
        <v>1072</v>
      </c>
      <c r="AN80">
        <v>550</v>
      </c>
      <c r="AO80">
        <v>289</v>
      </c>
      <c r="AP80">
        <v>19</v>
      </c>
      <c r="AQ80">
        <v>148</v>
      </c>
      <c r="AR80">
        <v>323</v>
      </c>
      <c r="AS80">
        <v>67</v>
      </c>
      <c r="AT80">
        <v>104</v>
      </c>
      <c r="AU80">
        <v>80</v>
      </c>
      <c r="AV80">
        <v>289</v>
      </c>
      <c r="AW80">
        <v>114</v>
      </c>
      <c r="AX80">
        <v>32</v>
      </c>
      <c r="AY80">
        <v>63</v>
      </c>
      <c r="AZ80">
        <v>31.6</v>
      </c>
      <c r="BA80">
        <v>64.8</v>
      </c>
      <c r="BB80">
        <v>4.0071211</v>
      </c>
      <c r="BC80">
        <v>2.4530702</v>
      </c>
      <c r="BD80">
        <v>1</v>
      </c>
      <c r="BE80">
        <v>0</v>
      </c>
      <c r="BF80">
        <v>0</v>
      </c>
      <c r="BG80">
        <v>4</v>
      </c>
      <c r="BH80">
        <v>0</v>
      </c>
      <c r="BI80">
        <v>3596.5</v>
      </c>
      <c r="BJ80">
        <f t="shared" si="4"/>
        <v>1.7418627778768094</v>
      </c>
      <c r="BK80" s="10">
        <f t="shared" si="5"/>
        <v>5.1464766429136976E-3</v>
      </c>
      <c r="BL80">
        <f t="shared" si="6"/>
        <v>581</v>
      </c>
      <c r="BM80">
        <f t="shared" si="7"/>
        <v>1</v>
      </c>
      <c r="BQ80">
        <v>5578</v>
      </c>
      <c r="BR80">
        <v>1.7418627778768094</v>
      </c>
      <c r="BS80">
        <v>581</v>
      </c>
      <c r="BT80">
        <v>-71.143990000000002</v>
      </c>
      <c r="BU80">
        <v>14.081516000000001</v>
      </c>
      <c r="BV80">
        <v>4.0071211</v>
      </c>
    </row>
    <row r="81" spans="1:74" x14ac:dyDescent="0.2">
      <c r="A81" t="s">
        <v>177</v>
      </c>
      <c r="B81">
        <v>688</v>
      </c>
      <c r="C81">
        <v>42.323788</v>
      </c>
      <c r="D81">
        <v>-71.213310000000007</v>
      </c>
      <c r="E81">
        <v>505.10001</v>
      </c>
      <c r="F81">
        <v>1634</v>
      </c>
      <c r="G81">
        <v>8.5349436000000001</v>
      </c>
      <c r="H81">
        <v>3742</v>
      </c>
      <c r="I81">
        <v>127</v>
      </c>
      <c r="J81" t="s">
        <v>83</v>
      </c>
      <c r="K81" t="s">
        <v>75</v>
      </c>
      <c r="L81">
        <v>5.099124E-2</v>
      </c>
      <c r="M81">
        <v>1</v>
      </c>
      <c r="N81">
        <v>2228</v>
      </c>
      <c r="O81">
        <v>49.2</v>
      </c>
      <c r="P81">
        <v>41.8</v>
      </c>
      <c r="Q81">
        <v>7.4</v>
      </c>
      <c r="R81">
        <v>10.8</v>
      </c>
      <c r="S81">
        <v>0.4</v>
      </c>
      <c r="T81">
        <v>2.1</v>
      </c>
      <c r="U81">
        <v>0.7</v>
      </c>
      <c r="V81">
        <v>36.799999999999997</v>
      </c>
      <c r="W81">
        <v>0.9</v>
      </c>
      <c r="X81">
        <v>5.9</v>
      </c>
      <c r="Y81">
        <v>11.6</v>
      </c>
      <c r="Z81">
        <v>17.7</v>
      </c>
      <c r="AA81">
        <v>12.9</v>
      </c>
      <c r="AB81">
        <v>15.3</v>
      </c>
      <c r="AC81">
        <v>11</v>
      </c>
      <c r="AD81">
        <v>13.8</v>
      </c>
      <c r="AE81">
        <v>10.7</v>
      </c>
      <c r="AF81">
        <v>32.299999999999997</v>
      </c>
      <c r="AG81">
        <v>4068</v>
      </c>
      <c r="AH81">
        <v>224</v>
      </c>
      <c r="AI81">
        <v>343</v>
      </c>
      <c r="AJ81">
        <v>267</v>
      </c>
      <c r="AK81">
        <v>225</v>
      </c>
      <c r="AL81">
        <v>138</v>
      </c>
      <c r="AM81">
        <v>132</v>
      </c>
      <c r="AN81">
        <v>181</v>
      </c>
      <c r="AO81">
        <v>115</v>
      </c>
      <c r="AP81">
        <v>386</v>
      </c>
      <c r="AQ81">
        <v>256</v>
      </c>
      <c r="AR81">
        <v>269</v>
      </c>
      <c r="AS81">
        <v>539</v>
      </c>
      <c r="AT81">
        <v>276</v>
      </c>
      <c r="AU81">
        <v>242</v>
      </c>
      <c r="AV81">
        <v>277</v>
      </c>
      <c r="AW81">
        <v>101</v>
      </c>
      <c r="AX81">
        <v>63</v>
      </c>
      <c r="AY81">
        <v>34</v>
      </c>
      <c r="AZ81">
        <v>45.5</v>
      </c>
      <c r="BA81">
        <v>104.2</v>
      </c>
      <c r="BB81">
        <v>7.8436006999999996</v>
      </c>
      <c r="BC81">
        <v>5.5925979999999997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f t="shared" si="4"/>
        <v>4.9856666540112506</v>
      </c>
      <c r="BK81" s="10">
        <f t="shared" si="5"/>
        <v>1.651705565529623E-2</v>
      </c>
      <c r="BL81">
        <f t="shared" si="6"/>
        <v>363</v>
      </c>
      <c r="BM81">
        <f t="shared" si="7"/>
        <v>1</v>
      </c>
      <c r="BQ81">
        <v>688</v>
      </c>
      <c r="BR81">
        <v>4.9856666540112506</v>
      </c>
      <c r="BS81">
        <v>363</v>
      </c>
      <c r="BT81">
        <v>-71.213310000000007</v>
      </c>
      <c r="BU81">
        <v>8.5349436000000001</v>
      </c>
      <c r="BV81">
        <v>7.8436006999999996</v>
      </c>
    </row>
    <row r="82" spans="1:74" x14ac:dyDescent="0.2">
      <c r="A82" t="s">
        <v>178</v>
      </c>
      <c r="B82">
        <v>237</v>
      </c>
      <c r="C82">
        <v>42.336784000000002</v>
      </c>
      <c r="D82">
        <v>-71.203986999999998</v>
      </c>
      <c r="E82">
        <v>589.37</v>
      </c>
      <c r="F82">
        <v>1408</v>
      </c>
      <c r="G82">
        <v>6.5391859999999999</v>
      </c>
      <c r="H82">
        <v>3737</v>
      </c>
      <c r="I82">
        <v>127</v>
      </c>
      <c r="J82" t="s">
        <v>108</v>
      </c>
      <c r="K82" t="s">
        <v>75</v>
      </c>
      <c r="L82">
        <v>0.91014742999999998</v>
      </c>
      <c r="M82">
        <v>0</v>
      </c>
      <c r="N82">
        <v>2001</v>
      </c>
      <c r="O82">
        <v>55.2</v>
      </c>
      <c r="P82">
        <v>48.5</v>
      </c>
      <c r="Q82">
        <v>6.7</v>
      </c>
      <c r="R82">
        <v>13.6</v>
      </c>
      <c r="S82">
        <v>0.4</v>
      </c>
      <c r="T82">
        <v>0.9</v>
      </c>
      <c r="U82">
        <v>0.5</v>
      </c>
      <c r="V82">
        <v>29.2</v>
      </c>
      <c r="W82">
        <v>1.8</v>
      </c>
      <c r="X82">
        <v>10.1</v>
      </c>
      <c r="Y82">
        <v>14.1</v>
      </c>
      <c r="Z82">
        <v>17.899999999999999</v>
      </c>
      <c r="AA82">
        <v>10.9</v>
      </c>
      <c r="AB82">
        <v>15.7</v>
      </c>
      <c r="AC82">
        <v>9</v>
      </c>
      <c r="AD82">
        <v>9.1999999999999993</v>
      </c>
      <c r="AE82">
        <v>11.5</v>
      </c>
      <c r="AF82">
        <v>29.1</v>
      </c>
      <c r="AG82">
        <v>3713</v>
      </c>
      <c r="AH82">
        <v>93</v>
      </c>
      <c r="AI82">
        <v>299</v>
      </c>
      <c r="AJ82">
        <v>296</v>
      </c>
      <c r="AK82">
        <v>189</v>
      </c>
      <c r="AL82">
        <v>157</v>
      </c>
      <c r="AM82">
        <v>130</v>
      </c>
      <c r="AN82">
        <v>121</v>
      </c>
      <c r="AO82">
        <v>135</v>
      </c>
      <c r="AP82">
        <v>259</v>
      </c>
      <c r="AQ82">
        <v>303</v>
      </c>
      <c r="AR82">
        <v>147</v>
      </c>
      <c r="AS82">
        <v>267</v>
      </c>
      <c r="AT82">
        <v>330</v>
      </c>
      <c r="AU82">
        <v>424</v>
      </c>
      <c r="AV82">
        <v>315</v>
      </c>
      <c r="AW82">
        <v>87</v>
      </c>
      <c r="AX82">
        <v>78</v>
      </c>
      <c r="AY82">
        <v>83</v>
      </c>
      <c r="AZ82">
        <v>47.9</v>
      </c>
      <c r="BA82">
        <v>92.8</v>
      </c>
      <c r="BB82">
        <v>7.1748915000000002</v>
      </c>
      <c r="BC82">
        <v>5.0313344000000004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585</v>
      </c>
      <c r="BJ82">
        <f t="shared" si="4"/>
        <v>4.3889704215754302</v>
      </c>
      <c r="BK82" s="10">
        <f t="shared" si="5"/>
        <v>1.4592703648175913E-2</v>
      </c>
      <c r="BL82">
        <f t="shared" si="6"/>
        <v>346</v>
      </c>
      <c r="BM82">
        <f t="shared" si="7"/>
        <v>1</v>
      </c>
      <c r="BQ82">
        <v>237</v>
      </c>
      <c r="BR82">
        <v>4.3889704215754302</v>
      </c>
      <c r="BS82">
        <v>346</v>
      </c>
      <c r="BT82">
        <v>-71.203986999999998</v>
      </c>
      <c r="BU82">
        <v>6.5391859999999999</v>
      </c>
      <c r="BV82">
        <v>7.1748915000000002</v>
      </c>
    </row>
    <row r="83" spans="1:74" x14ac:dyDescent="0.2">
      <c r="A83" t="s">
        <v>179</v>
      </c>
      <c r="B83">
        <v>856</v>
      </c>
      <c r="C83">
        <v>42.360908999999999</v>
      </c>
      <c r="D83">
        <v>-71.201026999999996</v>
      </c>
      <c r="E83">
        <v>319.04001</v>
      </c>
      <c r="F83">
        <v>2115</v>
      </c>
      <c r="G83">
        <v>15.010656000000001</v>
      </c>
      <c r="H83">
        <v>3732</v>
      </c>
      <c r="I83">
        <v>127</v>
      </c>
      <c r="J83" t="s">
        <v>108</v>
      </c>
      <c r="K83" t="s">
        <v>75</v>
      </c>
      <c r="L83">
        <v>2.2066547999999999</v>
      </c>
      <c r="M83">
        <v>0</v>
      </c>
      <c r="N83">
        <v>2829</v>
      </c>
      <c r="O83">
        <v>63.8</v>
      </c>
      <c r="P83">
        <v>53.8</v>
      </c>
      <c r="Q83">
        <v>10</v>
      </c>
      <c r="R83">
        <v>7.1</v>
      </c>
      <c r="S83">
        <v>7.1</v>
      </c>
      <c r="T83">
        <v>2.2999999999999998</v>
      </c>
      <c r="U83">
        <v>0</v>
      </c>
      <c r="V83">
        <v>19.600000000000001</v>
      </c>
      <c r="W83">
        <v>14.9</v>
      </c>
      <c r="X83">
        <v>10.5</v>
      </c>
      <c r="Y83">
        <v>11.1</v>
      </c>
      <c r="Z83">
        <v>15.1</v>
      </c>
      <c r="AA83">
        <v>7.1</v>
      </c>
      <c r="AB83">
        <v>13.1</v>
      </c>
      <c r="AC83">
        <v>14.1</v>
      </c>
      <c r="AD83">
        <v>8.3000000000000007</v>
      </c>
      <c r="AE83">
        <v>5.8</v>
      </c>
      <c r="AF83">
        <v>26.7</v>
      </c>
      <c r="AG83">
        <v>5223</v>
      </c>
      <c r="AH83">
        <v>184</v>
      </c>
      <c r="AI83">
        <v>242</v>
      </c>
      <c r="AJ83">
        <v>236</v>
      </c>
      <c r="AK83">
        <v>435</v>
      </c>
      <c r="AL83">
        <v>369</v>
      </c>
      <c r="AM83">
        <v>374</v>
      </c>
      <c r="AN83">
        <v>457</v>
      </c>
      <c r="AO83">
        <v>305</v>
      </c>
      <c r="AP83">
        <v>289</v>
      </c>
      <c r="AQ83">
        <v>382</v>
      </c>
      <c r="AR83">
        <v>423</v>
      </c>
      <c r="AS83">
        <v>334</v>
      </c>
      <c r="AT83">
        <v>339</v>
      </c>
      <c r="AU83">
        <v>258</v>
      </c>
      <c r="AV83">
        <v>188</v>
      </c>
      <c r="AW83">
        <v>151</v>
      </c>
      <c r="AX83">
        <v>123</v>
      </c>
      <c r="AY83">
        <v>134</v>
      </c>
      <c r="AZ83">
        <v>40.1</v>
      </c>
      <c r="BA83">
        <v>84.5</v>
      </c>
      <c r="BB83">
        <v>6.9215589</v>
      </c>
      <c r="BC83">
        <v>5.1322722000000001</v>
      </c>
      <c r="BD83">
        <v>0</v>
      </c>
      <c r="BE83">
        <v>1</v>
      </c>
      <c r="BF83">
        <v>0</v>
      </c>
      <c r="BG83">
        <v>2</v>
      </c>
      <c r="BH83">
        <v>0</v>
      </c>
      <c r="BI83">
        <v>846</v>
      </c>
      <c r="BJ83">
        <f t="shared" si="4"/>
        <v>4.2374692861887358</v>
      </c>
      <c r="BK83" s="10">
        <f t="shared" si="5"/>
        <v>6.9282431954754333E-3</v>
      </c>
      <c r="BL83">
        <f t="shared" si="6"/>
        <v>804</v>
      </c>
      <c r="BM83">
        <f t="shared" si="7"/>
        <v>1</v>
      </c>
      <c r="BQ83">
        <v>856</v>
      </c>
      <c r="BR83">
        <v>4.2374692861887358</v>
      </c>
      <c r="BS83">
        <v>804</v>
      </c>
      <c r="BT83">
        <v>-71.201026999999996</v>
      </c>
      <c r="BU83">
        <v>15.010656000000001</v>
      </c>
      <c r="BV83">
        <v>6.9215589</v>
      </c>
    </row>
    <row r="84" spans="1:74" x14ac:dyDescent="0.2">
      <c r="A84" t="s">
        <v>180</v>
      </c>
      <c r="B84">
        <v>823</v>
      </c>
      <c r="C84">
        <v>42.292453999999999</v>
      </c>
      <c r="D84">
        <v>-71.116539000000003</v>
      </c>
      <c r="E84">
        <v>52.549999</v>
      </c>
      <c r="F84">
        <v>614</v>
      </c>
      <c r="G84">
        <v>25.803996999999999</v>
      </c>
      <c r="H84">
        <v>1101.06</v>
      </c>
      <c r="I84">
        <v>10</v>
      </c>
      <c r="J84" t="s">
        <v>68</v>
      </c>
      <c r="K84" t="s">
        <v>69</v>
      </c>
      <c r="L84">
        <v>0.69146644999999995</v>
      </c>
      <c r="M84">
        <v>0</v>
      </c>
      <c r="N84">
        <v>958</v>
      </c>
      <c r="O84">
        <v>37.6</v>
      </c>
      <c r="P84">
        <v>30.7</v>
      </c>
      <c r="Q84">
        <v>6.9</v>
      </c>
      <c r="R84">
        <v>37.799999999999997</v>
      </c>
      <c r="S84">
        <v>3.5</v>
      </c>
      <c r="T84">
        <v>3.1</v>
      </c>
      <c r="U84">
        <v>0</v>
      </c>
      <c r="V84">
        <v>18</v>
      </c>
      <c r="W84">
        <v>0</v>
      </c>
      <c r="X84">
        <v>13.7</v>
      </c>
      <c r="Y84">
        <v>4.0999999999999996</v>
      </c>
      <c r="Z84">
        <v>12.6</v>
      </c>
      <c r="AA84">
        <v>3.8</v>
      </c>
      <c r="AB84">
        <v>12.6</v>
      </c>
      <c r="AC84">
        <v>12.6</v>
      </c>
      <c r="AD84">
        <v>30.3</v>
      </c>
      <c r="AE84">
        <v>10.3</v>
      </c>
      <c r="AF84">
        <v>34.6</v>
      </c>
      <c r="AG84">
        <v>1685</v>
      </c>
      <c r="AH84">
        <v>104</v>
      </c>
      <c r="AI84">
        <v>37</v>
      </c>
      <c r="AJ84">
        <v>0</v>
      </c>
      <c r="AK84">
        <v>8</v>
      </c>
      <c r="AL84">
        <v>40</v>
      </c>
      <c r="AM84">
        <v>113</v>
      </c>
      <c r="AN84">
        <v>182</v>
      </c>
      <c r="AO84">
        <v>170</v>
      </c>
      <c r="AP84">
        <v>103</v>
      </c>
      <c r="AQ84">
        <v>51</v>
      </c>
      <c r="AR84">
        <v>30</v>
      </c>
      <c r="AS84">
        <v>84</v>
      </c>
      <c r="AT84">
        <v>207</v>
      </c>
      <c r="AU84">
        <v>46</v>
      </c>
      <c r="AV84">
        <v>236</v>
      </c>
      <c r="AW84">
        <v>242</v>
      </c>
      <c r="AX84">
        <v>14</v>
      </c>
      <c r="AY84">
        <v>18</v>
      </c>
      <c r="AZ84">
        <v>55.2</v>
      </c>
      <c r="BA84">
        <v>105.2</v>
      </c>
      <c r="BB84">
        <v>5.0481085999999999</v>
      </c>
      <c r="BC84">
        <v>3.1870615</v>
      </c>
      <c r="BD84">
        <v>1</v>
      </c>
      <c r="BE84">
        <v>0</v>
      </c>
      <c r="BF84">
        <v>1</v>
      </c>
      <c r="BG84">
        <v>3</v>
      </c>
      <c r="BH84">
        <v>1029</v>
      </c>
      <c r="BI84">
        <v>962</v>
      </c>
      <c r="BJ84">
        <f t="shared" si="4"/>
        <v>3.4793529045304781</v>
      </c>
      <c r="BK84" s="10">
        <f t="shared" si="5"/>
        <v>1.8789144050104383E-2</v>
      </c>
      <c r="BL84">
        <f t="shared" si="6"/>
        <v>48</v>
      </c>
      <c r="BM84">
        <f t="shared" si="7"/>
        <v>0</v>
      </c>
      <c r="BQ84">
        <v>823</v>
      </c>
      <c r="BR84">
        <v>3.4793529045304781</v>
      </c>
      <c r="BS84">
        <v>48</v>
      </c>
      <c r="BT84">
        <v>-71.116539000000003</v>
      </c>
      <c r="BU84">
        <v>25.803996999999999</v>
      </c>
      <c r="BV84">
        <v>5.0481085999999999</v>
      </c>
    </row>
    <row r="85" spans="1:74" x14ac:dyDescent="0.2">
      <c r="A85" t="s">
        <v>181</v>
      </c>
      <c r="B85">
        <v>11358</v>
      </c>
      <c r="C85">
        <v>42.334556999999997</v>
      </c>
      <c r="D85">
        <v>-71.106826999999996</v>
      </c>
      <c r="E85">
        <v>138.30000000000001</v>
      </c>
      <c r="F85">
        <v>2581</v>
      </c>
      <c r="G85">
        <v>41.178595999999999</v>
      </c>
      <c r="H85">
        <v>810.01</v>
      </c>
      <c r="I85">
        <v>10</v>
      </c>
      <c r="J85" t="s">
        <v>182</v>
      </c>
      <c r="K85" t="s">
        <v>94</v>
      </c>
      <c r="L85">
        <v>7.3863330000000005E-2</v>
      </c>
      <c r="M85">
        <v>2</v>
      </c>
      <c r="N85">
        <v>2767</v>
      </c>
      <c r="O85">
        <v>14.3</v>
      </c>
      <c r="P85">
        <v>12.4</v>
      </c>
      <c r="Q85">
        <v>1.8</v>
      </c>
      <c r="R85">
        <v>28.4</v>
      </c>
      <c r="S85">
        <v>32.4</v>
      </c>
      <c r="T85">
        <v>2.2000000000000002</v>
      </c>
      <c r="U85">
        <v>4.0999999999999996</v>
      </c>
      <c r="V85">
        <v>18.7</v>
      </c>
      <c r="W85">
        <v>14.4</v>
      </c>
      <c r="X85">
        <v>7.7</v>
      </c>
      <c r="Y85">
        <v>18.100000000000001</v>
      </c>
      <c r="Z85">
        <v>15</v>
      </c>
      <c r="AA85">
        <v>5.0999999999999996</v>
      </c>
      <c r="AB85">
        <v>15.2</v>
      </c>
      <c r="AC85">
        <v>11.5</v>
      </c>
      <c r="AD85">
        <v>6.3</v>
      </c>
      <c r="AE85">
        <v>6.8</v>
      </c>
      <c r="AF85">
        <v>24.3</v>
      </c>
      <c r="AG85">
        <v>5230</v>
      </c>
      <c r="AH85">
        <v>151</v>
      </c>
      <c r="AI85">
        <v>156</v>
      </c>
      <c r="AJ85">
        <v>300</v>
      </c>
      <c r="AK85">
        <v>138</v>
      </c>
      <c r="AL85">
        <v>957</v>
      </c>
      <c r="AM85">
        <v>817</v>
      </c>
      <c r="AN85">
        <v>676</v>
      </c>
      <c r="AO85">
        <v>101</v>
      </c>
      <c r="AP85">
        <v>294</v>
      </c>
      <c r="AQ85">
        <v>16</v>
      </c>
      <c r="AR85">
        <v>441</v>
      </c>
      <c r="AS85">
        <v>149</v>
      </c>
      <c r="AT85">
        <v>300</v>
      </c>
      <c r="AU85">
        <v>266</v>
      </c>
      <c r="AV85">
        <v>88</v>
      </c>
      <c r="AW85">
        <v>9</v>
      </c>
      <c r="AX85">
        <v>137</v>
      </c>
      <c r="AY85">
        <v>234</v>
      </c>
      <c r="AZ85">
        <v>31.3</v>
      </c>
      <c r="BA85">
        <v>95.7</v>
      </c>
      <c r="BB85">
        <v>2.5351409999999999</v>
      </c>
      <c r="BC85">
        <v>0.23747744000000001</v>
      </c>
      <c r="BD85">
        <v>1</v>
      </c>
      <c r="BE85">
        <v>0</v>
      </c>
      <c r="BF85">
        <v>3</v>
      </c>
      <c r="BG85">
        <v>12</v>
      </c>
      <c r="BH85">
        <v>9958</v>
      </c>
      <c r="BI85">
        <v>9521</v>
      </c>
      <c r="BJ85">
        <f t="shared" si="4"/>
        <v>0.92162705363318809</v>
      </c>
      <c r="BK85" s="10">
        <f t="shared" si="5"/>
        <v>6.7582219009757862E-3</v>
      </c>
      <c r="BL85">
        <f t="shared" si="6"/>
        <v>1095</v>
      </c>
      <c r="BM85">
        <f t="shared" si="7"/>
        <v>1</v>
      </c>
      <c r="BQ85">
        <v>11358</v>
      </c>
      <c r="BR85">
        <v>0.92162705363318809</v>
      </c>
      <c r="BS85">
        <v>1095</v>
      </c>
      <c r="BT85">
        <v>-71.106826999999996</v>
      </c>
      <c r="BU85">
        <v>41.178595999999999</v>
      </c>
      <c r="BV85">
        <v>2.5351409999999999</v>
      </c>
    </row>
    <row r="86" spans="1:74" x14ac:dyDescent="0.2">
      <c r="A86" t="s">
        <v>183</v>
      </c>
      <c r="B86">
        <v>16648</v>
      </c>
      <c r="C86">
        <v>42.351329999999997</v>
      </c>
      <c r="D86">
        <v>-71.128219999999999</v>
      </c>
      <c r="E86">
        <v>43.98</v>
      </c>
      <c r="F86">
        <v>1375</v>
      </c>
      <c r="G86">
        <v>55.525238000000002</v>
      </c>
      <c r="H86">
        <v>7.03</v>
      </c>
      <c r="I86">
        <v>10</v>
      </c>
      <c r="J86" t="s">
        <v>65</v>
      </c>
      <c r="K86" t="s">
        <v>66</v>
      </c>
      <c r="L86">
        <v>7.2353559999999997E-2</v>
      </c>
      <c r="M86">
        <v>2</v>
      </c>
      <c r="N86">
        <v>1208</v>
      </c>
      <c r="O86">
        <v>9.4</v>
      </c>
      <c r="P86">
        <v>8.9</v>
      </c>
      <c r="Q86">
        <v>0.5</v>
      </c>
      <c r="R86">
        <v>44.9</v>
      </c>
      <c r="S86">
        <v>23.1</v>
      </c>
      <c r="T86">
        <v>5.2</v>
      </c>
      <c r="U86">
        <v>0.9</v>
      </c>
      <c r="V86">
        <v>16.5</v>
      </c>
      <c r="W86">
        <v>4.4000000000000004</v>
      </c>
      <c r="X86">
        <v>3.6</v>
      </c>
      <c r="Y86">
        <v>10.8</v>
      </c>
      <c r="Z86">
        <v>15.7</v>
      </c>
      <c r="AA86">
        <v>5.5</v>
      </c>
      <c r="AB86">
        <v>19.7</v>
      </c>
      <c r="AC86">
        <v>17.2</v>
      </c>
      <c r="AD86">
        <v>21.2</v>
      </c>
      <c r="AE86">
        <v>2</v>
      </c>
      <c r="AF86">
        <v>31</v>
      </c>
      <c r="AG86">
        <v>1724</v>
      </c>
      <c r="AH86">
        <v>0</v>
      </c>
      <c r="AI86">
        <v>0</v>
      </c>
      <c r="AJ86">
        <v>0</v>
      </c>
      <c r="AK86">
        <v>14</v>
      </c>
      <c r="AL86">
        <v>684</v>
      </c>
      <c r="AM86">
        <v>526</v>
      </c>
      <c r="AN86">
        <v>295</v>
      </c>
      <c r="AO86">
        <v>51</v>
      </c>
      <c r="AP86">
        <v>8</v>
      </c>
      <c r="AQ86">
        <v>27</v>
      </c>
      <c r="AR86">
        <v>23</v>
      </c>
      <c r="AS86">
        <v>44</v>
      </c>
      <c r="AT86">
        <v>41</v>
      </c>
      <c r="AU86">
        <v>0</v>
      </c>
      <c r="AV86">
        <v>9</v>
      </c>
      <c r="AW86">
        <v>0</v>
      </c>
      <c r="AX86">
        <v>0</v>
      </c>
      <c r="AY86">
        <v>2</v>
      </c>
      <c r="AZ86">
        <v>26.7</v>
      </c>
      <c r="BA86">
        <v>145.19999999999999</v>
      </c>
      <c r="BB86">
        <v>3.2032417999999998</v>
      </c>
      <c r="BC86">
        <v>1.4882911000000001</v>
      </c>
      <c r="BD86">
        <v>1</v>
      </c>
      <c r="BE86">
        <v>0</v>
      </c>
      <c r="BF86">
        <v>5</v>
      </c>
      <c r="BG86">
        <v>10</v>
      </c>
      <c r="BH86">
        <v>11403.6</v>
      </c>
      <c r="BI86">
        <v>9751.6</v>
      </c>
      <c r="BJ86">
        <f t="shared" si="4"/>
        <v>0.95543777321744228</v>
      </c>
      <c r="BK86" s="10">
        <f t="shared" si="5"/>
        <v>1.3658940397350994E-2</v>
      </c>
      <c r="BL86">
        <f t="shared" si="6"/>
        <v>698</v>
      </c>
      <c r="BM86">
        <f t="shared" si="7"/>
        <v>1</v>
      </c>
      <c r="BQ86">
        <v>16648</v>
      </c>
      <c r="BR86">
        <v>0.95543777321744228</v>
      </c>
      <c r="BS86">
        <v>698</v>
      </c>
      <c r="BT86">
        <v>-71.128219999999999</v>
      </c>
      <c r="BU86">
        <v>55.525238000000002</v>
      </c>
      <c r="BV86">
        <v>3.2032417999999998</v>
      </c>
    </row>
    <row r="87" spans="1:74" x14ac:dyDescent="0.2">
      <c r="A87" t="s">
        <v>184</v>
      </c>
      <c r="B87">
        <v>11890</v>
      </c>
      <c r="C87">
        <v>42.346474000000001</v>
      </c>
      <c r="D87">
        <v>-71.103431999999998</v>
      </c>
      <c r="E87">
        <v>62.759998000000003</v>
      </c>
      <c r="F87">
        <v>1338</v>
      </c>
      <c r="G87">
        <v>54.859783</v>
      </c>
      <c r="H87">
        <v>102.04</v>
      </c>
      <c r="I87">
        <v>10</v>
      </c>
      <c r="J87" t="s">
        <v>104</v>
      </c>
      <c r="K87" t="s">
        <v>75</v>
      </c>
      <c r="L87">
        <v>6.5037330000000004E-2</v>
      </c>
      <c r="M87">
        <v>4</v>
      </c>
      <c r="N87">
        <v>1396</v>
      </c>
      <c r="O87">
        <v>14.2</v>
      </c>
      <c r="P87">
        <v>9.5</v>
      </c>
      <c r="Q87">
        <v>4.7</v>
      </c>
      <c r="R87">
        <v>14.3</v>
      </c>
      <c r="S87">
        <v>48.6</v>
      </c>
      <c r="T87">
        <v>3.5</v>
      </c>
      <c r="U87">
        <v>3.3</v>
      </c>
      <c r="V87">
        <v>16.100000000000001</v>
      </c>
      <c r="W87">
        <v>15.5</v>
      </c>
      <c r="X87">
        <v>22.8</v>
      </c>
      <c r="Y87">
        <v>16.399999999999999</v>
      </c>
      <c r="Z87">
        <v>10.8</v>
      </c>
      <c r="AA87">
        <v>4.3</v>
      </c>
      <c r="AB87">
        <v>15.9</v>
      </c>
      <c r="AC87">
        <v>4.2</v>
      </c>
      <c r="AD87">
        <v>5.0999999999999996</v>
      </c>
      <c r="AE87">
        <v>5</v>
      </c>
      <c r="AF87">
        <v>23.3</v>
      </c>
      <c r="AG87">
        <v>3098</v>
      </c>
      <c r="AH87">
        <v>19</v>
      </c>
      <c r="AI87">
        <v>0</v>
      </c>
      <c r="AJ87">
        <v>8</v>
      </c>
      <c r="AK87">
        <v>1022</v>
      </c>
      <c r="AL87">
        <v>1186</v>
      </c>
      <c r="AM87">
        <v>307</v>
      </c>
      <c r="AN87">
        <v>221</v>
      </c>
      <c r="AO87">
        <v>122</v>
      </c>
      <c r="AP87">
        <v>12</v>
      </c>
      <c r="AQ87">
        <v>4</v>
      </c>
      <c r="AR87">
        <v>90</v>
      </c>
      <c r="AS87">
        <v>12</v>
      </c>
      <c r="AT87">
        <v>18</v>
      </c>
      <c r="AU87">
        <v>44</v>
      </c>
      <c r="AV87">
        <v>2</v>
      </c>
      <c r="AW87">
        <v>4</v>
      </c>
      <c r="AX87">
        <v>27</v>
      </c>
      <c r="AY87">
        <v>0</v>
      </c>
      <c r="AZ87">
        <v>21.2</v>
      </c>
      <c r="BA87">
        <v>65.2</v>
      </c>
      <c r="BB87">
        <v>2.0170113999999999</v>
      </c>
      <c r="BC87">
        <v>0.60518353999999996</v>
      </c>
      <c r="BD87">
        <v>1</v>
      </c>
      <c r="BE87">
        <v>0</v>
      </c>
      <c r="BF87">
        <v>3</v>
      </c>
      <c r="BG87">
        <v>14</v>
      </c>
      <c r="BH87">
        <v>9761</v>
      </c>
      <c r="BI87">
        <v>13813.57</v>
      </c>
      <c r="BJ87">
        <f t="shared" si="4"/>
        <v>0.25405605411544441</v>
      </c>
      <c r="BK87" s="10">
        <f t="shared" si="5"/>
        <v>1.1532951289398281E-2</v>
      </c>
      <c r="BL87">
        <f t="shared" si="6"/>
        <v>2208</v>
      </c>
      <c r="BM87">
        <f t="shared" si="7"/>
        <v>1</v>
      </c>
      <c r="BQ87">
        <v>11890</v>
      </c>
      <c r="BR87">
        <v>0.25405605411544441</v>
      </c>
      <c r="BS87">
        <v>2208</v>
      </c>
      <c r="BT87">
        <v>-71.103431999999998</v>
      </c>
      <c r="BU87">
        <v>54.859783</v>
      </c>
      <c r="BV87">
        <v>2.0170113999999999</v>
      </c>
    </row>
    <row r="88" spans="1:74" x14ac:dyDescent="0.2">
      <c r="A88" t="s">
        <v>185</v>
      </c>
      <c r="B88">
        <v>14002</v>
      </c>
      <c r="C88">
        <v>42.339866999999998</v>
      </c>
      <c r="D88">
        <v>-71.089600000000004</v>
      </c>
      <c r="E88">
        <v>90.160004000000001</v>
      </c>
      <c r="F88">
        <v>1005</v>
      </c>
      <c r="G88">
        <v>76.009315000000001</v>
      </c>
      <c r="H88">
        <v>104.05</v>
      </c>
      <c r="I88">
        <v>10</v>
      </c>
      <c r="J88" t="s">
        <v>143</v>
      </c>
      <c r="K88" t="s">
        <v>94</v>
      </c>
      <c r="L88">
        <v>0.14741426999999999</v>
      </c>
      <c r="M88">
        <v>2</v>
      </c>
      <c r="N88">
        <v>2300</v>
      </c>
      <c r="O88">
        <v>12.7</v>
      </c>
      <c r="P88">
        <v>9.9</v>
      </c>
      <c r="Q88">
        <v>2.8</v>
      </c>
      <c r="R88">
        <v>21.8</v>
      </c>
      <c r="S88">
        <v>46</v>
      </c>
      <c r="T88">
        <v>3.1</v>
      </c>
      <c r="U88">
        <v>0.9</v>
      </c>
      <c r="V88">
        <v>15.4</v>
      </c>
      <c r="W88">
        <v>27</v>
      </c>
      <c r="X88">
        <v>11.8</v>
      </c>
      <c r="Y88">
        <v>14.8</v>
      </c>
      <c r="Z88">
        <v>12.7</v>
      </c>
      <c r="AA88">
        <v>5.2</v>
      </c>
      <c r="AB88">
        <v>11.9</v>
      </c>
      <c r="AC88">
        <v>4.9000000000000004</v>
      </c>
      <c r="AD88">
        <v>5.9</v>
      </c>
      <c r="AE88">
        <v>5.7</v>
      </c>
      <c r="AF88">
        <v>20.8</v>
      </c>
      <c r="AG88">
        <v>6372</v>
      </c>
      <c r="AH88">
        <v>121</v>
      </c>
      <c r="AI88">
        <v>81</v>
      </c>
      <c r="AJ88">
        <v>43</v>
      </c>
      <c r="AK88">
        <v>2800</v>
      </c>
      <c r="AL88">
        <v>2046</v>
      </c>
      <c r="AM88">
        <v>142</v>
      </c>
      <c r="AN88">
        <v>197</v>
      </c>
      <c r="AO88">
        <v>41</v>
      </c>
      <c r="AP88">
        <v>113</v>
      </c>
      <c r="AQ88">
        <v>84</v>
      </c>
      <c r="AR88">
        <v>69</v>
      </c>
      <c r="AS88">
        <v>88</v>
      </c>
      <c r="AT88">
        <v>175</v>
      </c>
      <c r="AU88">
        <v>109</v>
      </c>
      <c r="AV88">
        <v>90</v>
      </c>
      <c r="AW88">
        <v>49</v>
      </c>
      <c r="AX88">
        <v>74</v>
      </c>
      <c r="AY88">
        <v>50</v>
      </c>
      <c r="AZ88">
        <v>20.100000000000001</v>
      </c>
      <c r="BA88">
        <v>64.400000000000006</v>
      </c>
      <c r="BB88">
        <v>1.6117721</v>
      </c>
      <c r="BC88">
        <v>0.82357776000000005</v>
      </c>
      <c r="BD88">
        <v>1</v>
      </c>
      <c r="BE88">
        <v>0</v>
      </c>
      <c r="BF88">
        <v>4</v>
      </c>
      <c r="BG88">
        <v>16</v>
      </c>
      <c r="BH88">
        <v>9853.75</v>
      </c>
      <c r="BI88">
        <v>11175.44</v>
      </c>
      <c r="BJ88">
        <f t="shared" si="4"/>
        <v>0.97305329274730812</v>
      </c>
      <c r="BK88" s="10">
        <f t="shared" si="5"/>
        <v>6.6956521739130435E-3</v>
      </c>
      <c r="BL88">
        <f t="shared" si="6"/>
        <v>4846</v>
      </c>
      <c r="BM88">
        <f t="shared" si="7"/>
        <v>1</v>
      </c>
      <c r="BQ88">
        <v>14002</v>
      </c>
      <c r="BR88">
        <v>0.97305329274730812</v>
      </c>
      <c r="BS88">
        <v>4846</v>
      </c>
      <c r="BT88">
        <v>-71.089600000000004</v>
      </c>
      <c r="BU88">
        <v>76.009315000000001</v>
      </c>
      <c r="BV88">
        <v>1.6117721</v>
      </c>
    </row>
    <row r="89" spans="1:74" x14ac:dyDescent="0.2">
      <c r="A89" t="s">
        <v>186</v>
      </c>
      <c r="B89">
        <v>11040</v>
      </c>
      <c r="C89">
        <v>42.334556999999997</v>
      </c>
      <c r="D89">
        <v>-71.106826999999996</v>
      </c>
      <c r="E89">
        <v>138.30000000000001</v>
      </c>
      <c r="F89">
        <v>2581</v>
      </c>
      <c r="G89">
        <v>41.178595999999999</v>
      </c>
      <c r="H89">
        <v>810.01</v>
      </c>
      <c r="I89">
        <v>10</v>
      </c>
      <c r="J89" t="s">
        <v>187</v>
      </c>
      <c r="K89" t="s">
        <v>94</v>
      </c>
      <c r="L89">
        <v>0.22655217</v>
      </c>
      <c r="M89">
        <v>1</v>
      </c>
      <c r="N89">
        <v>2767</v>
      </c>
      <c r="O89">
        <v>14.3</v>
      </c>
      <c r="P89">
        <v>12.4</v>
      </c>
      <c r="Q89">
        <v>1.8</v>
      </c>
      <c r="R89">
        <v>28.4</v>
      </c>
      <c r="S89">
        <v>32.4</v>
      </c>
      <c r="T89">
        <v>2.2000000000000002</v>
      </c>
      <c r="U89">
        <v>4.0999999999999996</v>
      </c>
      <c r="V89">
        <v>18.7</v>
      </c>
      <c r="W89">
        <v>14.4</v>
      </c>
      <c r="X89">
        <v>7.7</v>
      </c>
      <c r="Y89">
        <v>18.100000000000001</v>
      </c>
      <c r="Z89">
        <v>15</v>
      </c>
      <c r="AA89">
        <v>5.0999999999999996</v>
      </c>
      <c r="AB89">
        <v>15.2</v>
      </c>
      <c r="AC89">
        <v>11.5</v>
      </c>
      <c r="AD89">
        <v>6.3</v>
      </c>
      <c r="AE89">
        <v>6.8</v>
      </c>
      <c r="AF89">
        <v>24.3</v>
      </c>
      <c r="AG89">
        <v>5230</v>
      </c>
      <c r="AH89">
        <v>151</v>
      </c>
      <c r="AI89">
        <v>156</v>
      </c>
      <c r="AJ89">
        <v>300</v>
      </c>
      <c r="AK89">
        <v>138</v>
      </c>
      <c r="AL89">
        <v>957</v>
      </c>
      <c r="AM89">
        <v>817</v>
      </c>
      <c r="AN89">
        <v>676</v>
      </c>
      <c r="AO89">
        <v>101</v>
      </c>
      <c r="AP89">
        <v>294</v>
      </c>
      <c r="AQ89">
        <v>16</v>
      </c>
      <c r="AR89">
        <v>441</v>
      </c>
      <c r="AS89">
        <v>149</v>
      </c>
      <c r="AT89">
        <v>300</v>
      </c>
      <c r="AU89">
        <v>266</v>
      </c>
      <c r="AV89">
        <v>88</v>
      </c>
      <c r="AW89">
        <v>9</v>
      </c>
      <c r="AX89">
        <v>137</v>
      </c>
      <c r="AY89">
        <v>234</v>
      </c>
      <c r="AZ89">
        <v>31.3</v>
      </c>
      <c r="BA89">
        <v>95.7</v>
      </c>
      <c r="BB89">
        <v>2.5351409999999999</v>
      </c>
      <c r="BC89">
        <v>0.23747744000000001</v>
      </c>
      <c r="BD89">
        <v>1</v>
      </c>
      <c r="BE89">
        <v>0</v>
      </c>
      <c r="BF89">
        <v>1</v>
      </c>
      <c r="BG89">
        <v>8</v>
      </c>
      <c r="BH89">
        <v>24250</v>
      </c>
      <c r="BI89">
        <v>9832</v>
      </c>
      <c r="BJ89">
        <f t="shared" si="4"/>
        <v>0.92162705363318809</v>
      </c>
      <c r="BK89" s="10">
        <f t="shared" si="5"/>
        <v>6.7582219009757862E-3</v>
      </c>
      <c r="BL89">
        <f t="shared" si="6"/>
        <v>1095</v>
      </c>
      <c r="BM89">
        <f t="shared" si="7"/>
        <v>1</v>
      </c>
      <c r="BQ89">
        <v>11040</v>
      </c>
      <c r="BR89">
        <v>0.92162705363318809</v>
      </c>
      <c r="BS89">
        <v>1095</v>
      </c>
      <c r="BT89">
        <v>-71.106826999999996</v>
      </c>
      <c r="BU89">
        <v>41.178595999999999</v>
      </c>
      <c r="BV89">
        <v>2.5351409999999999</v>
      </c>
    </row>
    <row r="90" spans="1:74" x14ac:dyDescent="0.2">
      <c r="A90" t="s">
        <v>188</v>
      </c>
      <c r="B90">
        <v>1579</v>
      </c>
      <c r="C90">
        <v>42.286437999999997</v>
      </c>
      <c r="D90">
        <v>-71.122551000000001</v>
      </c>
      <c r="E90">
        <v>129.22</v>
      </c>
      <c r="F90">
        <v>1427</v>
      </c>
      <c r="G90">
        <v>28.052932999999999</v>
      </c>
      <c r="H90">
        <v>1104.01</v>
      </c>
      <c r="I90">
        <v>10</v>
      </c>
      <c r="J90" t="s">
        <v>68</v>
      </c>
      <c r="K90" t="s">
        <v>69</v>
      </c>
      <c r="L90">
        <v>1.1777077</v>
      </c>
      <c r="M90">
        <v>0</v>
      </c>
      <c r="N90">
        <v>1889</v>
      </c>
      <c r="O90">
        <v>54.4</v>
      </c>
      <c r="P90">
        <v>52.2</v>
      </c>
      <c r="Q90">
        <v>2.2000000000000002</v>
      </c>
      <c r="R90">
        <v>23.4</v>
      </c>
      <c r="S90">
        <v>4.0999999999999996</v>
      </c>
      <c r="T90">
        <v>3</v>
      </c>
      <c r="U90">
        <v>0</v>
      </c>
      <c r="V90">
        <v>15</v>
      </c>
      <c r="W90">
        <v>2.9</v>
      </c>
      <c r="X90">
        <v>5.3</v>
      </c>
      <c r="Y90">
        <v>16.7</v>
      </c>
      <c r="Z90">
        <v>5</v>
      </c>
      <c r="AA90">
        <v>7</v>
      </c>
      <c r="AB90">
        <v>23.3</v>
      </c>
      <c r="AC90">
        <v>13</v>
      </c>
      <c r="AD90">
        <v>13.5</v>
      </c>
      <c r="AE90">
        <v>13.3</v>
      </c>
      <c r="AF90">
        <v>33.5</v>
      </c>
      <c r="AG90">
        <v>3508</v>
      </c>
      <c r="AH90">
        <v>275</v>
      </c>
      <c r="AI90">
        <v>240</v>
      </c>
      <c r="AJ90">
        <v>193</v>
      </c>
      <c r="AK90">
        <v>144</v>
      </c>
      <c r="AL90">
        <v>151</v>
      </c>
      <c r="AM90">
        <v>168</v>
      </c>
      <c r="AN90">
        <v>382</v>
      </c>
      <c r="AO90">
        <v>339</v>
      </c>
      <c r="AP90">
        <v>302</v>
      </c>
      <c r="AQ90">
        <v>249</v>
      </c>
      <c r="AR90">
        <v>107</v>
      </c>
      <c r="AS90">
        <v>391</v>
      </c>
      <c r="AT90">
        <v>194</v>
      </c>
      <c r="AU90">
        <v>126</v>
      </c>
      <c r="AV90">
        <v>100</v>
      </c>
      <c r="AW90">
        <v>33</v>
      </c>
      <c r="AX90">
        <v>57</v>
      </c>
      <c r="AY90">
        <v>57</v>
      </c>
      <c r="AZ90">
        <v>36.9</v>
      </c>
      <c r="BA90">
        <v>108.2</v>
      </c>
      <c r="BB90">
        <v>5.5628618999999997</v>
      </c>
      <c r="BC90">
        <v>3.6577367999999999</v>
      </c>
      <c r="BD90">
        <v>1</v>
      </c>
      <c r="BE90">
        <v>0</v>
      </c>
      <c r="BF90">
        <v>1</v>
      </c>
      <c r="BG90">
        <v>3</v>
      </c>
      <c r="BH90">
        <v>1334</v>
      </c>
      <c r="BI90">
        <v>790.66669999999999</v>
      </c>
      <c r="BJ90">
        <f t="shared" si="4"/>
        <v>3.8776468281658993</v>
      </c>
      <c r="BK90" s="10">
        <f t="shared" si="5"/>
        <v>7.9407093700370572E-3</v>
      </c>
      <c r="BL90">
        <f t="shared" si="6"/>
        <v>295</v>
      </c>
      <c r="BM90">
        <f t="shared" si="7"/>
        <v>0</v>
      </c>
      <c r="BQ90">
        <v>1579</v>
      </c>
      <c r="BR90">
        <v>3.8776468281658993</v>
      </c>
      <c r="BS90">
        <v>295</v>
      </c>
      <c r="BT90">
        <v>-71.122551000000001</v>
      </c>
      <c r="BU90">
        <v>28.052932999999999</v>
      </c>
      <c r="BV90">
        <v>5.5628618999999997</v>
      </c>
    </row>
    <row r="91" spans="1:74" x14ac:dyDescent="0.2">
      <c r="A91" t="s">
        <v>189</v>
      </c>
      <c r="B91">
        <v>1334</v>
      </c>
      <c r="C91">
        <v>42.286437999999997</v>
      </c>
      <c r="D91">
        <v>-71.122551000000001</v>
      </c>
      <c r="E91">
        <v>129.22</v>
      </c>
      <c r="F91">
        <v>1427</v>
      </c>
      <c r="G91">
        <v>28.052932999999999</v>
      </c>
      <c r="H91">
        <v>1104.01</v>
      </c>
      <c r="I91">
        <v>10</v>
      </c>
      <c r="J91" t="s">
        <v>68</v>
      </c>
      <c r="K91" t="s">
        <v>69</v>
      </c>
      <c r="L91">
        <v>1.2347250999999999</v>
      </c>
      <c r="M91">
        <v>0</v>
      </c>
      <c r="N91">
        <v>1889</v>
      </c>
      <c r="O91">
        <v>54.4</v>
      </c>
      <c r="P91">
        <v>52.2</v>
      </c>
      <c r="Q91">
        <v>2.2000000000000002</v>
      </c>
      <c r="R91">
        <v>23.4</v>
      </c>
      <c r="S91">
        <v>4.0999999999999996</v>
      </c>
      <c r="T91">
        <v>3</v>
      </c>
      <c r="U91">
        <v>0</v>
      </c>
      <c r="V91">
        <v>15</v>
      </c>
      <c r="W91">
        <v>2.9</v>
      </c>
      <c r="X91">
        <v>5.3</v>
      </c>
      <c r="Y91">
        <v>16.7</v>
      </c>
      <c r="Z91">
        <v>5</v>
      </c>
      <c r="AA91">
        <v>7</v>
      </c>
      <c r="AB91">
        <v>23.3</v>
      </c>
      <c r="AC91">
        <v>13</v>
      </c>
      <c r="AD91">
        <v>13.5</v>
      </c>
      <c r="AE91">
        <v>13.3</v>
      </c>
      <c r="AF91">
        <v>33.5</v>
      </c>
      <c r="AG91">
        <v>3508</v>
      </c>
      <c r="AH91">
        <v>275</v>
      </c>
      <c r="AI91">
        <v>240</v>
      </c>
      <c r="AJ91">
        <v>193</v>
      </c>
      <c r="AK91">
        <v>144</v>
      </c>
      <c r="AL91">
        <v>151</v>
      </c>
      <c r="AM91">
        <v>168</v>
      </c>
      <c r="AN91">
        <v>382</v>
      </c>
      <c r="AO91">
        <v>339</v>
      </c>
      <c r="AP91">
        <v>302</v>
      </c>
      <c r="AQ91">
        <v>249</v>
      </c>
      <c r="AR91">
        <v>107</v>
      </c>
      <c r="AS91">
        <v>391</v>
      </c>
      <c r="AT91">
        <v>194</v>
      </c>
      <c r="AU91">
        <v>126</v>
      </c>
      <c r="AV91">
        <v>100</v>
      </c>
      <c r="AW91">
        <v>33</v>
      </c>
      <c r="AX91">
        <v>57</v>
      </c>
      <c r="AY91">
        <v>57</v>
      </c>
      <c r="AZ91">
        <v>36.9</v>
      </c>
      <c r="BA91">
        <v>108.2</v>
      </c>
      <c r="BB91">
        <v>5.5628618999999997</v>
      </c>
      <c r="BC91">
        <v>3.6577367999999999</v>
      </c>
      <c r="BD91">
        <v>1</v>
      </c>
      <c r="BE91">
        <v>0</v>
      </c>
      <c r="BF91">
        <v>1</v>
      </c>
      <c r="BG91">
        <v>4</v>
      </c>
      <c r="BH91">
        <v>1579</v>
      </c>
      <c r="BI91">
        <v>910</v>
      </c>
      <c r="BJ91">
        <f t="shared" si="4"/>
        <v>3.8776468281658993</v>
      </c>
      <c r="BK91" s="10">
        <f t="shared" si="5"/>
        <v>7.9407093700370572E-3</v>
      </c>
      <c r="BL91">
        <f t="shared" si="6"/>
        <v>295</v>
      </c>
      <c r="BM91">
        <f t="shared" si="7"/>
        <v>0</v>
      </c>
      <c r="BQ91">
        <v>1334</v>
      </c>
      <c r="BR91">
        <v>3.8776468281658993</v>
      </c>
      <c r="BS91">
        <v>295</v>
      </c>
      <c r="BT91">
        <v>-71.122551000000001</v>
      </c>
      <c r="BU91">
        <v>28.052932999999999</v>
      </c>
      <c r="BV91">
        <v>5.5628618999999997</v>
      </c>
    </row>
    <row r="92" spans="1:74" x14ac:dyDescent="0.2">
      <c r="A92" t="s">
        <v>190</v>
      </c>
      <c r="B92">
        <v>16910</v>
      </c>
      <c r="C92">
        <v>42.334606000000001</v>
      </c>
      <c r="D92">
        <v>-71.096214000000003</v>
      </c>
      <c r="E92">
        <v>90.160004000000001</v>
      </c>
      <c r="F92">
        <v>1096</v>
      </c>
      <c r="G92">
        <v>47.493343000000003</v>
      </c>
      <c r="H92">
        <v>808.01</v>
      </c>
      <c r="I92">
        <v>10</v>
      </c>
      <c r="J92" t="s">
        <v>191</v>
      </c>
      <c r="K92" t="s">
        <v>69</v>
      </c>
      <c r="L92">
        <v>2.4259989999999999E-2</v>
      </c>
      <c r="M92">
        <v>1</v>
      </c>
      <c r="N92">
        <v>1787</v>
      </c>
      <c r="O92">
        <v>21.4</v>
      </c>
      <c r="P92">
        <v>20.7</v>
      </c>
      <c r="Q92">
        <v>0.7</v>
      </c>
      <c r="R92">
        <v>39.4</v>
      </c>
      <c r="S92">
        <v>33.200000000000003</v>
      </c>
      <c r="T92">
        <v>0</v>
      </c>
      <c r="U92">
        <v>2</v>
      </c>
      <c r="V92">
        <v>4.0999999999999996</v>
      </c>
      <c r="W92">
        <v>14.4</v>
      </c>
      <c r="X92">
        <v>10</v>
      </c>
      <c r="Y92">
        <v>17.899999999999999</v>
      </c>
      <c r="Z92">
        <v>14.1</v>
      </c>
      <c r="AA92">
        <v>5</v>
      </c>
      <c r="AB92">
        <v>19.100000000000001</v>
      </c>
      <c r="AC92">
        <v>9.3000000000000007</v>
      </c>
      <c r="AD92">
        <v>4.0999999999999996</v>
      </c>
      <c r="AE92">
        <v>6.2</v>
      </c>
      <c r="AF92">
        <v>23.4</v>
      </c>
      <c r="AG92">
        <v>4425</v>
      </c>
      <c r="AH92">
        <v>85</v>
      </c>
      <c r="AI92">
        <v>268</v>
      </c>
      <c r="AJ92">
        <v>167</v>
      </c>
      <c r="AK92">
        <v>1047</v>
      </c>
      <c r="AL92">
        <v>1065</v>
      </c>
      <c r="AM92">
        <v>416</v>
      </c>
      <c r="AN92">
        <v>234</v>
      </c>
      <c r="AO92">
        <v>145</v>
      </c>
      <c r="AP92">
        <v>78</v>
      </c>
      <c r="AQ92">
        <v>147</v>
      </c>
      <c r="AR92">
        <v>230</v>
      </c>
      <c r="AS92">
        <v>136</v>
      </c>
      <c r="AT92">
        <v>193</v>
      </c>
      <c r="AU92">
        <v>60</v>
      </c>
      <c r="AV92">
        <v>9</v>
      </c>
      <c r="AW92">
        <v>104</v>
      </c>
      <c r="AX92">
        <v>15</v>
      </c>
      <c r="AY92">
        <v>26</v>
      </c>
      <c r="AZ92">
        <v>21.7</v>
      </c>
      <c r="BA92">
        <v>95.4</v>
      </c>
      <c r="BB92">
        <v>2.1057229</v>
      </c>
      <c r="BC92">
        <v>0.52415900999999998</v>
      </c>
      <c r="BD92">
        <v>1</v>
      </c>
      <c r="BE92">
        <v>0</v>
      </c>
      <c r="BF92">
        <v>2</v>
      </c>
      <c r="BG92">
        <v>9</v>
      </c>
      <c r="BH92">
        <v>1700</v>
      </c>
      <c r="BI92">
        <v>5139.6670000000004</v>
      </c>
      <c r="BJ92">
        <f t="shared" si="4"/>
        <v>1.0320684166629246</v>
      </c>
      <c r="BK92" s="10">
        <f t="shared" si="5"/>
        <v>2.2943480693900392E-3</v>
      </c>
      <c r="BL92">
        <f t="shared" si="6"/>
        <v>2112</v>
      </c>
      <c r="BM92">
        <f t="shared" si="7"/>
        <v>0</v>
      </c>
      <c r="BQ92">
        <v>16910</v>
      </c>
      <c r="BR92">
        <v>1.0320684166629246</v>
      </c>
      <c r="BS92">
        <v>2112</v>
      </c>
      <c r="BT92">
        <v>-71.096214000000003</v>
      </c>
      <c r="BU92">
        <v>47.493343000000003</v>
      </c>
      <c r="BV92">
        <v>2.1057229</v>
      </c>
    </row>
    <row r="93" spans="1:74" x14ac:dyDescent="0.2">
      <c r="A93" t="s">
        <v>192</v>
      </c>
      <c r="B93">
        <v>5085</v>
      </c>
      <c r="C93">
        <v>42.327044999999998</v>
      </c>
      <c r="D93">
        <v>-71.112449999999995</v>
      </c>
      <c r="E93">
        <v>29.1</v>
      </c>
      <c r="F93">
        <v>951</v>
      </c>
      <c r="G93">
        <v>50.996563000000002</v>
      </c>
      <c r="H93">
        <v>811.01</v>
      </c>
      <c r="I93">
        <v>10</v>
      </c>
      <c r="J93" t="s">
        <v>157</v>
      </c>
      <c r="K93" t="s">
        <v>94</v>
      </c>
      <c r="L93">
        <v>7.2311379999999995E-2</v>
      </c>
      <c r="M93">
        <v>2</v>
      </c>
      <c r="N93">
        <v>966</v>
      </c>
      <c r="O93">
        <v>8.3000000000000007</v>
      </c>
      <c r="P93">
        <v>8.3000000000000007</v>
      </c>
      <c r="Q93">
        <v>0</v>
      </c>
      <c r="R93">
        <v>36.1</v>
      </c>
      <c r="S93">
        <v>35.700000000000003</v>
      </c>
      <c r="T93">
        <v>0</v>
      </c>
      <c r="U93">
        <v>2.9</v>
      </c>
      <c r="V93">
        <v>17</v>
      </c>
      <c r="W93">
        <v>11.3</v>
      </c>
      <c r="X93">
        <v>7.4</v>
      </c>
      <c r="Y93">
        <v>22.7</v>
      </c>
      <c r="Z93">
        <v>7</v>
      </c>
      <c r="AA93">
        <v>2.4</v>
      </c>
      <c r="AB93">
        <v>23.7</v>
      </c>
      <c r="AC93">
        <v>3.2</v>
      </c>
      <c r="AD93">
        <v>15.5</v>
      </c>
      <c r="AE93">
        <v>6.9</v>
      </c>
      <c r="AF93">
        <v>28.1</v>
      </c>
      <c r="AG93">
        <v>1557</v>
      </c>
      <c r="AH93">
        <v>153</v>
      </c>
      <c r="AI93">
        <v>29</v>
      </c>
      <c r="AJ93">
        <v>21</v>
      </c>
      <c r="AK93">
        <v>0</v>
      </c>
      <c r="AL93">
        <v>34</v>
      </c>
      <c r="AM93">
        <v>407</v>
      </c>
      <c r="AN93">
        <v>414</v>
      </c>
      <c r="AO93">
        <v>154</v>
      </c>
      <c r="AP93">
        <v>60</v>
      </c>
      <c r="AQ93">
        <v>24</v>
      </c>
      <c r="AR93">
        <v>0</v>
      </c>
      <c r="AS93">
        <v>7</v>
      </c>
      <c r="AT93">
        <v>36</v>
      </c>
      <c r="AU93">
        <v>9</v>
      </c>
      <c r="AV93">
        <v>55</v>
      </c>
      <c r="AW93">
        <v>45</v>
      </c>
      <c r="AX93">
        <v>37</v>
      </c>
      <c r="AY93">
        <v>72</v>
      </c>
      <c r="AZ93">
        <v>31.4</v>
      </c>
      <c r="BA93">
        <v>73.8</v>
      </c>
      <c r="BB93">
        <v>3.0755780000000001</v>
      </c>
      <c r="BC93">
        <v>0.82677025000000004</v>
      </c>
      <c r="BD93">
        <v>1</v>
      </c>
      <c r="BE93">
        <v>0</v>
      </c>
      <c r="BF93">
        <v>0</v>
      </c>
      <c r="BG93">
        <v>4</v>
      </c>
      <c r="BH93">
        <v>0</v>
      </c>
      <c r="BI93">
        <v>6432.75</v>
      </c>
      <c r="BJ93">
        <f t="shared" si="4"/>
        <v>1.3959100197314791</v>
      </c>
      <c r="BK93" s="10">
        <f t="shared" si="5"/>
        <v>1.7598343685300208E-2</v>
      </c>
      <c r="BL93">
        <f t="shared" si="6"/>
        <v>34</v>
      </c>
      <c r="BM93">
        <f t="shared" si="7"/>
        <v>1</v>
      </c>
      <c r="BQ93">
        <v>5085</v>
      </c>
      <c r="BR93">
        <v>1.3959100197314791</v>
      </c>
      <c r="BS93">
        <v>34</v>
      </c>
      <c r="BT93">
        <v>-71.112449999999995</v>
      </c>
      <c r="BU93">
        <v>50.996563000000002</v>
      </c>
      <c r="BV93">
        <v>3.0755780000000001</v>
      </c>
    </row>
    <row r="94" spans="1:74" x14ac:dyDescent="0.2">
      <c r="A94" t="s">
        <v>193</v>
      </c>
      <c r="B94">
        <v>16091</v>
      </c>
      <c r="C94">
        <v>42.349850000000004</v>
      </c>
      <c r="D94">
        <v>-71.103499999999997</v>
      </c>
      <c r="E94">
        <v>71.190002000000007</v>
      </c>
      <c r="F94">
        <v>420</v>
      </c>
      <c r="G94">
        <v>65.978363000000002</v>
      </c>
      <c r="H94">
        <v>101.03</v>
      </c>
      <c r="I94">
        <v>10</v>
      </c>
      <c r="J94" t="s">
        <v>124</v>
      </c>
      <c r="K94" t="s">
        <v>66</v>
      </c>
      <c r="L94">
        <v>2.785584E-2</v>
      </c>
      <c r="M94">
        <v>2</v>
      </c>
      <c r="N94">
        <v>1374</v>
      </c>
      <c r="O94">
        <v>10.8</v>
      </c>
      <c r="P94">
        <v>9.3000000000000007</v>
      </c>
      <c r="Q94">
        <v>1.5</v>
      </c>
      <c r="R94">
        <v>14.3</v>
      </c>
      <c r="S94">
        <v>55</v>
      </c>
      <c r="T94">
        <v>0.4</v>
      </c>
      <c r="U94">
        <v>1.3</v>
      </c>
      <c r="V94">
        <v>18.2</v>
      </c>
      <c r="W94">
        <v>29.4</v>
      </c>
      <c r="X94">
        <v>21.4</v>
      </c>
      <c r="Y94">
        <v>17.7</v>
      </c>
      <c r="Z94">
        <v>12.5</v>
      </c>
      <c r="AA94">
        <v>0.8</v>
      </c>
      <c r="AB94">
        <v>7.1</v>
      </c>
      <c r="AC94">
        <v>4</v>
      </c>
      <c r="AD94">
        <v>3.8</v>
      </c>
      <c r="AE94">
        <v>3.2</v>
      </c>
      <c r="AF94">
        <v>16.5</v>
      </c>
      <c r="AG94">
        <v>3527</v>
      </c>
      <c r="AH94">
        <v>0</v>
      </c>
      <c r="AI94">
        <v>9</v>
      </c>
      <c r="AJ94">
        <v>0</v>
      </c>
      <c r="AK94">
        <v>1797</v>
      </c>
      <c r="AL94">
        <v>1259</v>
      </c>
      <c r="AM94">
        <v>206</v>
      </c>
      <c r="AN94">
        <v>28</v>
      </c>
      <c r="AO94">
        <v>144</v>
      </c>
      <c r="AP94">
        <v>24</v>
      </c>
      <c r="AQ94">
        <v>25</v>
      </c>
      <c r="AR94">
        <v>19</v>
      </c>
      <c r="AS94">
        <v>0</v>
      </c>
      <c r="AT94">
        <v>1</v>
      </c>
      <c r="AU94">
        <v>0</v>
      </c>
      <c r="AV94">
        <v>15</v>
      </c>
      <c r="AW94">
        <v>0</v>
      </c>
      <c r="AX94">
        <v>0</v>
      </c>
      <c r="AY94">
        <v>0</v>
      </c>
      <c r="AZ94">
        <v>20</v>
      </c>
      <c r="BA94">
        <v>85.8</v>
      </c>
      <c r="BB94">
        <v>1.9641867</v>
      </c>
      <c r="BC94">
        <v>0.83545535999999998</v>
      </c>
      <c r="BD94">
        <v>1</v>
      </c>
      <c r="BE94">
        <v>0</v>
      </c>
      <c r="BF94">
        <v>7</v>
      </c>
      <c r="BG94">
        <v>16</v>
      </c>
      <c r="BH94">
        <v>12466.71</v>
      </c>
      <c r="BI94">
        <v>15951.88</v>
      </c>
      <c r="BJ94">
        <f t="shared" si="4"/>
        <v>0.14661249552280328</v>
      </c>
      <c r="BK94" s="10">
        <f t="shared" si="5"/>
        <v>1.3245997088791848E-2</v>
      </c>
      <c r="BL94">
        <f t="shared" si="6"/>
        <v>3056</v>
      </c>
      <c r="BM94">
        <f t="shared" si="7"/>
        <v>1</v>
      </c>
      <c r="BQ94">
        <v>16091</v>
      </c>
      <c r="BR94">
        <v>0.14661249552280328</v>
      </c>
      <c r="BS94">
        <v>3056</v>
      </c>
      <c r="BT94">
        <v>-71.103499999999997</v>
      </c>
      <c r="BU94">
        <v>65.978363000000002</v>
      </c>
      <c r="BV94">
        <v>1.9641867</v>
      </c>
    </row>
    <row r="95" spans="1:74" x14ac:dyDescent="0.2">
      <c r="A95" t="s">
        <v>194</v>
      </c>
      <c r="B95">
        <v>696</v>
      </c>
      <c r="C95">
        <v>42.271960999999997</v>
      </c>
      <c r="D95">
        <v>-71.166801000000007</v>
      </c>
      <c r="E95">
        <v>468.47</v>
      </c>
      <c r="F95">
        <v>2243</v>
      </c>
      <c r="G95">
        <v>10.316563</v>
      </c>
      <c r="H95">
        <v>1304.02</v>
      </c>
      <c r="I95">
        <v>10</v>
      </c>
      <c r="J95" t="s">
        <v>68</v>
      </c>
      <c r="K95" t="s">
        <v>69</v>
      </c>
      <c r="L95">
        <v>2.9898552999999999</v>
      </c>
      <c r="M95">
        <v>0</v>
      </c>
      <c r="N95">
        <v>2992</v>
      </c>
      <c r="O95">
        <v>70.8</v>
      </c>
      <c r="P95">
        <v>63.6</v>
      </c>
      <c r="Q95">
        <v>7.2</v>
      </c>
      <c r="R95">
        <v>10.1</v>
      </c>
      <c r="S95">
        <v>2.1</v>
      </c>
      <c r="T95">
        <v>0</v>
      </c>
      <c r="U95">
        <v>0</v>
      </c>
      <c r="V95">
        <v>17</v>
      </c>
      <c r="W95">
        <v>4.4000000000000004</v>
      </c>
      <c r="X95">
        <v>1.9</v>
      </c>
      <c r="Y95">
        <v>23.2</v>
      </c>
      <c r="Z95">
        <v>18.100000000000001</v>
      </c>
      <c r="AA95">
        <v>8.6999999999999993</v>
      </c>
      <c r="AB95">
        <v>13.5</v>
      </c>
      <c r="AC95">
        <v>4.8</v>
      </c>
      <c r="AD95">
        <v>13</v>
      </c>
      <c r="AE95">
        <v>12.4</v>
      </c>
      <c r="AF95">
        <v>30.7</v>
      </c>
      <c r="AG95">
        <v>5275</v>
      </c>
      <c r="AH95">
        <v>208</v>
      </c>
      <c r="AI95">
        <v>225</v>
      </c>
      <c r="AJ95">
        <v>352</v>
      </c>
      <c r="AK95">
        <v>255</v>
      </c>
      <c r="AL95">
        <v>171</v>
      </c>
      <c r="AM95">
        <v>452</v>
      </c>
      <c r="AN95">
        <v>430</v>
      </c>
      <c r="AO95">
        <v>284</v>
      </c>
      <c r="AP95">
        <v>237</v>
      </c>
      <c r="AQ95">
        <v>319</v>
      </c>
      <c r="AR95">
        <v>594</v>
      </c>
      <c r="AS95">
        <v>304</v>
      </c>
      <c r="AT95">
        <v>432</v>
      </c>
      <c r="AU95">
        <v>300</v>
      </c>
      <c r="AV95">
        <v>378</v>
      </c>
      <c r="AW95">
        <v>185</v>
      </c>
      <c r="AX95">
        <v>45</v>
      </c>
      <c r="AY95">
        <v>104</v>
      </c>
      <c r="AZ95">
        <v>45.4</v>
      </c>
      <c r="BA95">
        <v>92.7</v>
      </c>
      <c r="BB95">
        <v>7.7258139000000003</v>
      </c>
      <c r="BC95">
        <v>5.5265775000000001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582</v>
      </c>
      <c r="BJ95">
        <f t="shared" si="4"/>
        <v>5.3901615419643889</v>
      </c>
      <c r="BK95" s="10">
        <f t="shared" si="5"/>
        <v>5.681818181818182E-3</v>
      </c>
      <c r="BL95">
        <f t="shared" si="6"/>
        <v>426</v>
      </c>
      <c r="BM95">
        <f t="shared" si="7"/>
        <v>0</v>
      </c>
      <c r="BQ95">
        <v>696</v>
      </c>
      <c r="BR95">
        <v>5.3901615419643889</v>
      </c>
      <c r="BS95">
        <v>426</v>
      </c>
      <c r="BT95">
        <v>-71.166801000000007</v>
      </c>
      <c r="BU95">
        <v>10.316563</v>
      </c>
      <c r="BV95">
        <v>7.7258139000000003</v>
      </c>
    </row>
    <row r="96" spans="1:74" x14ac:dyDescent="0.2">
      <c r="A96" t="s">
        <v>195</v>
      </c>
      <c r="B96">
        <v>12925</v>
      </c>
      <c r="C96">
        <v>42.346474000000001</v>
      </c>
      <c r="D96">
        <v>-71.103431999999998</v>
      </c>
      <c r="E96">
        <v>62.759998000000003</v>
      </c>
      <c r="F96">
        <v>1338</v>
      </c>
      <c r="G96">
        <v>54.859783</v>
      </c>
      <c r="H96">
        <v>102.04</v>
      </c>
      <c r="I96">
        <v>4</v>
      </c>
      <c r="J96" t="s">
        <v>196</v>
      </c>
      <c r="K96" t="s">
        <v>63</v>
      </c>
      <c r="L96">
        <v>0.11484166</v>
      </c>
      <c r="M96">
        <v>3</v>
      </c>
      <c r="N96">
        <v>1396</v>
      </c>
      <c r="O96">
        <v>14.2</v>
      </c>
      <c r="P96">
        <v>9.5</v>
      </c>
      <c r="Q96">
        <v>4.7</v>
      </c>
      <c r="R96">
        <v>14.3</v>
      </c>
      <c r="S96">
        <v>48.6</v>
      </c>
      <c r="T96">
        <v>3.5</v>
      </c>
      <c r="U96">
        <v>3.3</v>
      </c>
      <c r="V96">
        <v>16.100000000000001</v>
      </c>
      <c r="W96">
        <v>15.5</v>
      </c>
      <c r="X96">
        <v>22.8</v>
      </c>
      <c r="Y96">
        <v>16.399999999999999</v>
      </c>
      <c r="Z96">
        <v>10.8</v>
      </c>
      <c r="AA96">
        <v>4.3</v>
      </c>
      <c r="AB96">
        <v>15.9</v>
      </c>
      <c r="AC96">
        <v>4.2</v>
      </c>
      <c r="AD96">
        <v>5.0999999999999996</v>
      </c>
      <c r="AE96">
        <v>5</v>
      </c>
      <c r="AF96">
        <v>23.3</v>
      </c>
      <c r="AG96">
        <v>3098</v>
      </c>
      <c r="AH96">
        <v>19</v>
      </c>
      <c r="AI96">
        <v>0</v>
      </c>
      <c r="AJ96">
        <v>8</v>
      </c>
      <c r="AK96">
        <v>1022</v>
      </c>
      <c r="AL96">
        <v>1186</v>
      </c>
      <c r="AM96">
        <v>307</v>
      </c>
      <c r="AN96">
        <v>221</v>
      </c>
      <c r="AO96">
        <v>122</v>
      </c>
      <c r="AP96">
        <v>12</v>
      </c>
      <c r="AQ96">
        <v>4</v>
      </c>
      <c r="AR96">
        <v>90</v>
      </c>
      <c r="AS96">
        <v>12</v>
      </c>
      <c r="AT96">
        <v>18</v>
      </c>
      <c r="AU96">
        <v>44</v>
      </c>
      <c r="AV96">
        <v>2</v>
      </c>
      <c r="AW96">
        <v>4</v>
      </c>
      <c r="AX96">
        <v>27</v>
      </c>
      <c r="AY96">
        <v>0</v>
      </c>
      <c r="AZ96">
        <v>21.2</v>
      </c>
      <c r="BA96">
        <v>65.2</v>
      </c>
      <c r="BB96">
        <v>2.0170113999999999</v>
      </c>
      <c r="BC96">
        <v>0.60518353999999996</v>
      </c>
      <c r="BD96">
        <v>0</v>
      </c>
      <c r="BE96">
        <v>0</v>
      </c>
      <c r="BF96">
        <v>1</v>
      </c>
      <c r="BG96">
        <v>12</v>
      </c>
      <c r="BH96">
        <v>11890</v>
      </c>
      <c r="BI96">
        <v>10781.42</v>
      </c>
      <c r="BJ96">
        <f t="shared" si="4"/>
        <v>0.25405605411544441</v>
      </c>
      <c r="BK96" s="10">
        <f t="shared" si="5"/>
        <v>1.1532951289398281E-2</v>
      </c>
      <c r="BL96">
        <f t="shared" si="6"/>
        <v>2208</v>
      </c>
      <c r="BM96">
        <f t="shared" si="7"/>
        <v>1</v>
      </c>
      <c r="BQ96">
        <v>12925</v>
      </c>
      <c r="BR96">
        <v>0.25405605411544441</v>
      </c>
      <c r="BS96">
        <v>2208</v>
      </c>
      <c r="BT96">
        <v>-71.103431999999998</v>
      </c>
      <c r="BU96">
        <v>54.859783</v>
      </c>
      <c r="BV96">
        <v>2.0170113999999999</v>
      </c>
    </row>
    <row r="97" spans="1:74" x14ac:dyDescent="0.2">
      <c r="A97" t="s">
        <v>197</v>
      </c>
      <c r="B97">
        <v>16198</v>
      </c>
      <c r="C97">
        <v>42.332343999999999</v>
      </c>
      <c r="D97">
        <v>-71.101692</v>
      </c>
      <c r="E97">
        <v>63.380001</v>
      </c>
      <c r="F97">
        <v>1910</v>
      </c>
      <c r="G97">
        <v>69.043861000000007</v>
      </c>
      <c r="H97">
        <v>809</v>
      </c>
      <c r="I97">
        <v>10</v>
      </c>
      <c r="J97" t="s">
        <v>93</v>
      </c>
      <c r="K97" t="s">
        <v>94</v>
      </c>
      <c r="L97">
        <v>0.15728429999999999</v>
      </c>
      <c r="M97">
        <v>3</v>
      </c>
      <c r="N97">
        <v>1808</v>
      </c>
      <c r="O97">
        <v>21.3</v>
      </c>
      <c r="P97">
        <v>21.3</v>
      </c>
      <c r="Q97">
        <v>0</v>
      </c>
      <c r="R97">
        <v>21.4</v>
      </c>
      <c r="S97">
        <v>39.4</v>
      </c>
      <c r="T97">
        <v>3.7</v>
      </c>
      <c r="U97">
        <v>0</v>
      </c>
      <c r="V97">
        <v>14.2</v>
      </c>
      <c r="W97">
        <v>1.7</v>
      </c>
      <c r="X97">
        <v>22</v>
      </c>
      <c r="Y97">
        <v>27.4</v>
      </c>
      <c r="Z97">
        <v>12.6</v>
      </c>
      <c r="AA97">
        <v>5.3</v>
      </c>
      <c r="AB97">
        <v>10.199999999999999</v>
      </c>
      <c r="AC97">
        <v>3.8</v>
      </c>
      <c r="AD97">
        <v>9.6999999999999993</v>
      </c>
      <c r="AE97">
        <v>7.4</v>
      </c>
      <c r="AF97">
        <v>23.8</v>
      </c>
      <c r="AG97">
        <v>3420</v>
      </c>
      <c r="AH97">
        <v>16</v>
      </c>
      <c r="AI97">
        <v>3</v>
      </c>
      <c r="AJ97">
        <v>5</v>
      </c>
      <c r="AK97">
        <v>163</v>
      </c>
      <c r="AL97">
        <v>1122</v>
      </c>
      <c r="AM97">
        <v>771</v>
      </c>
      <c r="AN97">
        <v>257</v>
      </c>
      <c r="AO97">
        <v>99</v>
      </c>
      <c r="AP97">
        <v>131</v>
      </c>
      <c r="AQ97">
        <v>84</v>
      </c>
      <c r="AR97">
        <v>127</v>
      </c>
      <c r="AS97">
        <v>96</v>
      </c>
      <c r="AT97">
        <v>119</v>
      </c>
      <c r="AU97">
        <v>111</v>
      </c>
      <c r="AV97">
        <v>84</v>
      </c>
      <c r="AW97">
        <v>81</v>
      </c>
      <c r="AX97">
        <v>118</v>
      </c>
      <c r="AY97">
        <v>33</v>
      </c>
      <c r="AZ97">
        <v>27</v>
      </c>
      <c r="BA97">
        <v>145.19999999999999</v>
      </c>
      <c r="BB97">
        <v>2.4190024999999999</v>
      </c>
      <c r="BC97">
        <v>0.42700424999999997</v>
      </c>
      <c r="BD97">
        <v>1</v>
      </c>
      <c r="BE97">
        <v>0</v>
      </c>
      <c r="BF97">
        <v>5</v>
      </c>
      <c r="BG97">
        <v>14</v>
      </c>
      <c r="BH97">
        <v>5822.2</v>
      </c>
      <c r="BI97">
        <v>8382.2139999999999</v>
      </c>
      <c r="BJ97">
        <f t="shared" si="4"/>
        <v>1.0787841373735196</v>
      </c>
      <c r="BK97" s="10">
        <f t="shared" si="5"/>
        <v>7.8539823008849548E-3</v>
      </c>
      <c r="BL97">
        <f t="shared" si="6"/>
        <v>1285</v>
      </c>
      <c r="BM97">
        <f t="shared" si="7"/>
        <v>1</v>
      </c>
      <c r="BQ97">
        <v>16198</v>
      </c>
      <c r="BR97">
        <v>1.0787841373735196</v>
      </c>
      <c r="BS97">
        <v>1285</v>
      </c>
      <c r="BT97">
        <v>-71.101692</v>
      </c>
      <c r="BU97">
        <v>69.043861000000007</v>
      </c>
      <c r="BV97">
        <v>2.4190024999999999</v>
      </c>
    </row>
    <row r="98" spans="1:74" x14ac:dyDescent="0.2">
      <c r="A98" t="s">
        <v>198</v>
      </c>
      <c r="B98">
        <v>4837</v>
      </c>
      <c r="C98">
        <v>42.363678</v>
      </c>
      <c r="D98">
        <v>-71.126480000000001</v>
      </c>
      <c r="E98">
        <v>350.17000999999999</v>
      </c>
      <c r="F98">
        <v>1055</v>
      </c>
      <c r="G98">
        <v>5.6315502999999998</v>
      </c>
      <c r="H98">
        <v>8.06</v>
      </c>
      <c r="I98">
        <v>10</v>
      </c>
      <c r="J98" t="s">
        <v>65</v>
      </c>
      <c r="K98" t="s">
        <v>66</v>
      </c>
      <c r="L98">
        <v>0.76904057999999997</v>
      </c>
      <c r="M98">
        <v>0</v>
      </c>
      <c r="N98">
        <v>888</v>
      </c>
      <c r="O98">
        <v>30.6</v>
      </c>
      <c r="P98">
        <v>30.6</v>
      </c>
      <c r="Q98">
        <v>0</v>
      </c>
      <c r="R98">
        <v>10.5</v>
      </c>
      <c r="S98">
        <v>32.799999999999997</v>
      </c>
      <c r="T98">
        <v>2.6</v>
      </c>
      <c r="U98">
        <v>0.8</v>
      </c>
      <c r="V98">
        <v>22.7</v>
      </c>
      <c r="W98">
        <v>24.5</v>
      </c>
      <c r="X98">
        <v>15.3</v>
      </c>
      <c r="Y98">
        <v>18.399999999999999</v>
      </c>
      <c r="Z98">
        <v>10.6</v>
      </c>
      <c r="AA98">
        <v>10.9</v>
      </c>
      <c r="AB98">
        <v>9.6</v>
      </c>
      <c r="AC98">
        <v>2.2999999999999998</v>
      </c>
      <c r="AD98">
        <v>6.1</v>
      </c>
      <c r="AE98">
        <v>2.2000000000000002</v>
      </c>
      <c r="AF98">
        <v>18.8</v>
      </c>
      <c r="AG98">
        <v>2273</v>
      </c>
      <c r="AH98">
        <v>96</v>
      </c>
      <c r="AI98">
        <v>46</v>
      </c>
      <c r="AJ98">
        <v>0</v>
      </c>
      <c r="AK98">
        <v>405</v>
      </c>
      <c r="AL98">
        <v>510</v>
      </c>
      <c r="AM98">
        <v>640</v>
      </c>
      <c r="AN98">
        <v>426</v>
      </c>
      <c r="AO98">
        <v>85</v>
      </c>
      <c r="AP98">
        <v>0</v>
      </c>
      <c r="AQ98">
        <v>47</v>
      </c>
      <c r="AR98">
        <v>0</v>
      </c>
      <c r="AS98">
        <v>0</v>
      </c>
      <c r="AT98">
        <v>0</v>
      </c>
      <c r="AU98">
        <v>18</v>
      </c>
      <c r="AV98">
        <v>0</v>
      </c>
      <c r="AW98">
        <v>0</v>
      </c>
      <c r="AX98">
        <v>0</v>
      </c>
      <c r="AY98">
        <v>0</v>
      </c>
      <c r="AZ98">
        <v>26.3</v>
      </c>
      <c r="BA98">
        <v>86.2</v>
      </c>
      <c r="BB98">
        <v>3.1596172</v>
      </c>
      <c r="BC98">
        <v>2.0818346000000001</v>
      </c>
      <c r="BD98">
        <v>1</v>
      </c>
      <c r="BE98">
        <v>0</v>
      </c>
      <c r="BF98">
        <v>2</v>
      </c>
      <c r="BG98">
        <v>8</v>
      </c>
      <c r="BH98">
        <v>11564</v>
      </c>
      <c r="BI98">
        <v>9142.375</v>
      </c>
      <c r="BJ98">
        <f t="shared" si="4"/>
        <v>1.2045524813601851</v>
      </c>
      <c r="BK98" s="10">
        <f t="shared" si="5"/>
        <v>2.5563063063063062E-2</v>
      </c>
      <c r="BL98">
        <f t="shared" si="6"/>
        <v>915</v>
      </c>
      <c r="BM98">
        <f t="shared" si="7"/>
        <v>1</v>
      </c>
      <c r="BQ98">
        <v>4837</v>
      </c>
      <c r="BR98">
        <v>1.2045524813601851</v>
      </c>
      <c r="BS98">
        <v>915</v>
      </c>
      <c r="BT98">
        <v>-71.126480000000001</v>
      </c>
      <c r="BU98">
        <v>5.6315502999999998</v>
      </c>
      <c r="BV98">
        <v>3.1596172</v>
      </c>
    </row>
    <row r="99" spans="1:74" x14ac:dyDescent="0.2">
      <c r="A99" t="s">
        <v>199</v>
      </c>
      <c r="B99">
        <v>8610</v>
      </c>
      <c r="C99">
        <v>42.320659999999997</v>
      </c>
      <c r="D99">
        <v>-71.104202000000001</v>
      </c>
      <c r="E99">
        <v>52.799999</v>
      </c>
      <c r="F99">
        <v>977</v>
      </c>
      <c r="G99">
        <v>45.890152</v>
      </c>
      <c r="H99">
        <v>1205</v>
      </c>
      <c r="I99">
        <v>10</v>
      </c>
      <c r="J99" t="s">
        <v>161</v>
      </c>
      <c r="K99" t="s">
        <v>69</v>
      </c>
      <c r="L99">
        <v>0.45953241</v>
      </c>
      <c r="M99">
        <v>0</v>
      </c>
      <c r="N99">
        <v>1411</v>
      </c>
      <c r="O99">
        <v>34.5</v>
      </c>
      <c r="P99">
        <v>29.4</v>
      </c>
      <c r="Q99">
        <v>5.0999999999999996</v>
      </c>
      <c r="R99">
        <v>30.5</v>
      </c>
      <c r="S99">
        <v>4</v>
      </c>
      <c r="T99">
        <v>4.4000000000000004</v>
      </c>
      <c r="U99">
        <v>3.1</v>
      </c>
      <c r="V99">
        <v>23.4</v>
      </c>
      <c r="W99">
        <v>2.9</v>
      </c>
      <c r="X99">
        <v>3.7</v>
      </c>
      <c r="Y99">
        <v>17.899999999999999</v>
      </c>
      <c r="Z99">
        <v>15.7</v>
      </c>
      <c r="AA99">
        <v>10</v>
      </c>
      <c r="AB99">
        <v>22.9</v>
      </c>
      <c r="AC99">
        <v>10.1</v>
      </c>
      <c r="AD99">
        <v>4.2</v>
      </c>
      <c r="AE99">
        <v>12.7</v>
      </c>
      <c r="AF99">
        <v>33.9</v>
      </c>
      <c r="AG99">
        <v>2543</v>
      </c>
      <c r="AH99">
        <v>163</v>
      </c>
      <c r="AI99">
        <v>144</v>
      </c>
      <c r="AJ99">
        <v>109</v>
      </c>
      <c r="AK99">
        <v>112</v>
      </c>
      <c r="AL99">
        <v>114</v>
      </c>
      <c r="AM99">
        <v>408</v>
      </c>
      <c r="AN99">
        <v>540</v>
      </c>
      <c r="AO99">
        <v>121</v>
      </c>
      <c r="AP99">
        <v>125</v>
      </c>
      <c r="AQ99">
        <v>77</v>
      </c>
      <c r="AR99">
        <v>126</v>
      </c>
      <c r="AS99">
        <v>80</v>
      </c>
      <c r="AT99">
        <v>41</v>
      </c>
      <c r="AU99">
        <v>71</v>
      </c>
      <c r="AV99">
        <v>29</v>
      </c>
      <c r="AW99">
        <v>54</v>
      </c>
      <c r="AX99">
        <v>5</v>
      </c>
      <c r="AY99">
        <v>224</v>
      </c>
      <c r="AZ99">
        <v>31.9</v>
      </c>
      <c r="BA99">
        <v>73</v>
      </c>
      <c r="BB99">
        <v>3.0871851000000001</v>
      </c>
      <c r="BC99">
        <v>1.1895450000000001</v>
      </c>
      <c r="BD99">
        <v>1</v>
      </c>
      <c r="BE99">
        <v>0</v>
      </c>
      <c r="BF99">
        <v>0</v>
      </c>
      <c r="BG99">
        <v>5</v>
      </c>
      <c r="BH99">
        <v>0</v>
      </c>
      <c r="BI99">
        <v>7357</v>
      </c>
      <c r="BJ99">
        <f t="shared" si="4"/>
        <v>1.7607264749862568</v>
      </c>
      <c r="BK99" s="10">
        <f t="shared" si="5"/>
        <v>1.6583982990786676E-2</v>
      </c>
      <c r="BL99">
        <f t="shared" si="6"/>
        <v>226</v>
      </c>
      <c r="BM99">
        <f t="shared" si="7"/>
        <v>0</v>
      </c>
      <c r="BQ99">
        <v>8610</v>
      </c>
      <c r="BR99">
        <v>1.7607264749862568</v>
      </c>
      <c r="BS99">
        <v>226</v>
      </c>
      <c r="BT99">
        <v>-71.104202000000001</v>
      </c>
      <c r="BU99">
        <v>45.890152</v>
      </c>
      <c r="BV99">
        <v>3.0871851000000001</v>
      </c>
    </row>
    <row r="100" spans="1:74" x14ac:dyDescent="0.2">
      <c r="A100" t="s">
        <v>200</v>
      </c>
      <c r="B100">
        <v>3659</v>
      </c>
      <c r="C100">
        <v>42.333317000000001</v>
      </c>
      <c r="D100">
        <v>-71.124831999999998</v>
      </c>
      <c r="E100">
        <v>149.72</v>
      </c>
      <c r="F100">
        <v>1584</v>
      </c>
      <c r="G100">
        <v>26.62303</v>
      </c>
      <c r="H100">
        <v>4007</v>
      </c>
      <c r="I100">
        <v>4</v>
      </c>
      <c r="J100" t="s">
        <v>137</v>
      </c>
      <c r="K100" t="s">
        <v>75</v>
      </c>
      <c r="L100">
        <v>1.2314169999999999E-2</v>
      </c>
      <c r="M100">
        <v>1</v>
      </c>
      <c r="N100">
        <v>2462</v>
      </c>
      <c r="O100">
        <v>26.2</v>
      </c>
      <c r="P100">
        <v>25.8</v>
      </c>
      <c r="Q100">
        <v>0.4</v>
      </c>
      <c r="R100">
        <v>26.8</v>
      </c>
      <c r="S100">
        <v>15.2</v>
      </c>
      <c r="T100">
        <v>8.1</v>
      </c>
      <c r="U100">
        <v>3.7</v>
      </c>
      <c r="V100">
        <v>20.2</v>
      </c>
      <c r="W100">
        <v>1.7999999999999999E-2</v>
      </c>
      <c r="X100">
        <v>0.1</v>
      </c>
      <c r="Y100">
        <v>0.218</v>
      </c>
      <c r="Z100">
        <v>0.122</v>
      </c>
      <c r="AA100">
        <v>8.2000000000000003E-2</v>
      </c>
      <c r="AB100">
        <v>0.151</v>
      </c>
      <c r="AC100">
        <v>0.11700000000000001</v>
      </c>
      <c r="AD100">
        <v>0.105</v>
      </c>
      <c r="AE100">
        <v>8.6999999999999994E-2</v>
      </c>
      <c r="AF100">
        <v>28.3</v>
      </c>
      <c r="AG100">
        <v>3912</v>
      </c>
      <c r="AH100">
        <v>134</v>
      </c>
      <c r="AI100">
        <v>234</v>
      </c>
      <c r="AJ100">
        <v>314</v>
      </c>
      <c r="AK100">
        <v>92</v>
      </c>
      <c r="AL100">
        <v>563</v>
      </c>
      <c r="AM100">
        <v>517</v>
      </c>
      <c r="AN100">
        <v>316</v>
      </c>
      <c r="AO100">
        <v>233</v>
      </c>
      <c r="AP100">
        <v>212</v>
      </c>
      <c r="AQ100">
        <v>189</v>
      </c>
      <c r="AR100">
        <v>237</v>
      </c>
      <c r="AS100">
        <v>169</v>
      </c>
      <c r="AT100">
        <v>168</v>
      </c>
      <c r="AU100">
        <v>240</v>
      </c>
      <c r="AV100">
        <v>95</v>
      </c>
      <c r="AW100">
        <v>166</v>
      </c>
      <c r="AX100">
        <v>16</v>
      </c>
      <c r="AY100">
        <v>17</v>
      </c>
      <c r="AZ100">
        <v>31.4</v>
      </c>
      <c r="BA100">
        <v>71.3</v>
      </c>
      <c r="BB100">
        <v>3.3743498000000001</v>
      </c>
      <c r="BC100">
        <v>1.0363142000000001</v>
      </c>
      <c r="BD100">
        <v>0</v>
      </c>
      <c r="BE100">
        <v>0</v>
      </c>
      <c r="BF100">
        <v>0</v>
      </c>
      <c r="BG100">
        <v>2</v>
      </c>
      <c r="BH100">
        <v>0</v>
      </c>
      <c r="BI100">
        <v>4715</v>
      </c>
      <c r="BJ100">
        <f t="shared" si="4"/>
        <v>1.2783320530284337</v>
      </c>
      <c r="BK100" s="10">
        <f t="shared" si="5"/>
        <v>8.2047116165718924E-3</v>
      </c>
      <c r="BL100">
        <f t="shared" si="6"/>
        <v>655</v>
      </c>
      <c r="BM100">
        <f t="shared" si="7"/>
        <v>1</v>
      </c>
      <c r="BQ100">
        <v>3659</v>
      </c>
      <c r="BR100">
        <v>1.2783320530284337</v>
      </c>
      <c r="BS100">
        <v>655</v>
      </c>
      <c r="BT100">
        <v>-71.124831999999998</v>
      </c>
      <c r="BU100">
        <v>26.62303</v>
      </c>
      <c r="BV100">
        <v>3.3743498000000001</v>
      </c>
    </row>
    <row r="101" spans="1:74" x14ac:dyDescent="0.2">
      <c r="A101" t="s">
        <v>201</v>
      </c>
      <c r="B101">
        <v>5671</v>
      </c>
      <c r="C101">
        <v>42.347602999999999</v>
      </c>
      <c r="D101">
        <v>-71.144927999999993</v>
      </c>
      <c r="E101">
        <v>77.209998999999996</v>
      </c>
      <c r="F101">
        <v>1012</v>
      </c>
      <c r="G101">
        <v>22.756121</v>
      </c>
      <c r="H101">
        <v>6.03</v>
      </c>
      <c r="I101">
        <v>10</v>
      </c>
      <c r="J101" t="s">
        <v>202</v>
      </c>
      <c r="K101" t="s">
        <v>66</v>
      </c>
      <c r="L101">
        <v>0.37549004000000002</v>
      </c>
      <c r="M101">
        <v>0</v>
      </c>
      <c r="N101">
        <v>869</v>
      </c>
      <c r="O101">
        <v>35.4</v>
      </c>
      <c r="P101">
        <v>17.3</v>
      </c>
      <c r="Q101">
        <v>18.2</v>
      </c>
      <c r="R101">
        <v>36.200000000000003</v>
      </c>
      <c r="S101">
        <v>3.3</v>
      </c>
      <c r="T101">
        <v>0</v>
      </c>
      <c r="U101">
        <v>4.4000000000000004</v>
      </c>
      <c r="V101">
        <v>20.6</v>
      </c>
      <c r="W101">
        <v>3.5</v>
      </c>
      <c r="X101">
        <v>8.6</v>
      </c>
      <c r="Y101">
        <v>9.9</v>
      </c>
      <c r="Z101">
        <v>3.2</v>
      </c>
      <c r="AA101">
        <v>0</v>
      </c>
      <c r="AB101">
        <v>22.9</v>
      </c>
      <c r="AC101">
        <v>23.6</v>
      </c>
      <c r="AD101">
        <v>21.2</v>
      </c>
      <c r="AE101">
        <v>7.2</v>
      </c>
      <c r="AF101">
        <v>33.200000000000003</v>
      </c>
      <c r="AG101">
        <v>1763</v>
      </c>
      <c r="AH101">
        <v>94</v>
      </c>
      <c r="AI101">
        <v>62</v>
      </c>
      <c r="AJ101">
        <v>39</v>
      </c>
      <c r="AK101">
        <v>90</v>
      </c>
      <c r="AL101">
        <v>263</v>
      </c>
      <c r="AM101">
        <v>131</v>
      </c>
      <c r="AN101">
        <v>175</v>
      </c>
      <c r="AO101">
        <v>94</v>
      </c>
      <c r="AP101">
        <v>82</v>
      </c>
      <c r="AQ101">
        <v>144</v>
      </c>
      <c r="AR101">
        <v>25</v>
      </c>
      <c r="AS101">
        <v>150</v>
      </c>
      <c r="AT101">
        <v>191</v>
      </c>
      <c r="AU101">
        <v>110</v>
      </c>
      <c r="AV101">
        <v>43</v>
      </c>
      <c r="AW101">
        <v>34</v>
      </c>
      <c r="AX101">
        <v>0</v>
      </c>
      <c r="AY101">
        <v>36</v>
      </c>
      <c r="AZ101">
        <v>35.700000000000003</v>
      </c>
      <c r="BA101">
        <v>99</v>
      </c>
      <c r="BB101">
        <v>4.0789641999999997</v>
      </c>
      <c r="BC101">
        <v>2.1238731999999998</v>
      </c>
      <c r="BD101">
        <v>1</v>
      </c>
      <c r="BE101">
        <v>0</v>
      </c>
      <c r="BF101">
        <v>2</v>
      </c>
      <c r="BG101">
        <v>9</v>
      </c>
      <c r="BH101">
        <v>1384</v>
      </c>
      <c r="BI101">
        <v>3562.444</v>
      </c>
      <c r="BJ101">
        <f t="shared" si="4"/>
        <v>1.6993234494206988</v>
      </c>
      <c r="BK101" s="10">
        <f t="shared" si="5"/>
        <v>2.3705408515535098E-2</v>
      </c>
      <c r="BL101">
        <f t="shared" si="6"/>
        <v>353</v>
      </c>
      <c r="BM101">
        <f t="shared" si="7"/>
        <v>1</v>
      </c>
      <c r="BQ101">
        <v>5671</v>
      </c>
      <c r="BR101">
        <v>1.6993234494206988</v>
      </c>
      <c r="BS101">
        <v>353</v>
      </c>
      <c r="BT101">
        <v>-71.144927999999993</v>
      </c>
      <c r="BU101">
        <v>22.756121</v>
      </c>
      <c r="BV101">
        <v>4.0789641999999997</v>
      </c>
    </row>
    <row r="102" spans="1:74" x14ac:dyDescent="0.2">
      <c r="A102" t="s">
        <v>203</v>
      </c>
      <c r="B102">
        <v>14087</v>
      </c>
      <c r="C102">
        <v>42.351044000000002</v>
      </c>
      <c r="D102">
        <v>-71.139770999999996</v>
      </c>
      <c r="E102">
        <v>70.930000000000007</v>
      </c>
      <c r="F102">
        <v>1337</v>
      </c>
      <c r="G102">
        <v>36.528973000000001</v>
      </c>
      <c r="H102">
        <v>6.04</v>
      </c>
      <c r="I102">
        <v>10</v>
      </c>
      <c r="J102" t="s">
        <v>88</v>
      </c>
      <c r="K102" t="s">
        <v>66</v>
      </c>
      <c r="L102">
        <v>0.32885233000000003</v>
      </c>
      <c r="M102">
        <v>0</v>
      </c>
      <c r="N102">
        <v>1568</v>
      </c>
      <c r="O102">
        <v>33.5</v>
      </c>
      <c r="P102">
        <v>30.4</v>
      </c>
      <c r="Q102">
        <v>3.2</v>
      </c>
      <c r="R102">
        <v>27.5</v>
      </c>
      <c r="S102">
        <v>6.3</v>
      </c>
      <c r="T102">
        <v>8</v>
      </c>
      <c r="U102">
        <v>3.4</v>
      </c>
      <c r="V102">
        <v>21.2</v>
      </c>
      <c r="W102">
        <v>1</v>
      </c>
      <c r="X102">
        <v>3.8</v>
      </c>
      <c r="Y102">
        <v>19.5</v>
      </c>
      <c r="Z102">
        <v>13</v>
      </c>
      <c r="AA102">
        <v>1.7</v>
      </c>
      <c r="AB102">
        <v>9.6</v>
      </c>
      <c r="AC102">
        <v>28.2</v>
      </c>
      <c r="AD102">
        <v>17.100000000000001</v>
      </c>
      <c r="AE102">
        <v>6.2</v>
      </c>
      <c r="AF102">
        <v>32.700000000000003</v>
      </c>
      <c r="AG102">
        <v>2465</v>
      </c>
      <c r="AH102">
        <v>68</v>
      </c>
      <c r="AI102">
        <v>66</v>
      </c>
      <c r="AJ102">
        <v>0</v>
      </c>
      <c r="AK102">
        <v>203</v>
      </c>
      <c r="AL102">
        <v>578</v>
      </c>
      <c r="AM102">
        <v>502</v>
      </c>
      <c r="AN102">
        <v>190</v>
      </c>
      <c r="AO102">
        <v>227</v>
      </c>
      <c r="AP102">
        <v>49</v>
      </c>
      <c r="AQ102">
        <v>39</v>
      </c>
      <c r="AR102">
        <v>36</v>
      </c>
      <c r="AS102">
        <v>112</v>
      </c>
      <c r="AT102">
        <v>153</v>
      </c>
      <c r="AU102">
        <v>0</v>
      </c>
      <c r="AV102">
        <v>36</v>
      </c>
      <c r="AW102">
        <v>22</v>
      </c>
      <c r="AX102">
        <v>90</v>
      </c>
      <c r="AY102">
        <v>94</v>
      </c>
      <c r="AZ102">
        <v>27.9</v>
      </c>
      <c r="BA102">
        <v>122.5</v>
      </c>
      <c r="BB102">
        <v>3.7928397999999999</v>
      </c>
      <c r="BC102">
        <v>1.9738369</v>
      </c>
      <c r="BD102">
        <v>1</v>
      </c>
      <c r="BE102">
        <v>0</v>
      </c>
      <c r="BF102">
        <v>2</v>
      </c>
      <c r="BG102">
        <v>10</v>
      </c>
      <c r="BH102">
        <v>519.5</v>
      </c>
      <c r="BI102">
        <v>6398.7</v>
      </c>
      <c r="BJ102">
        <f t="shared" si="4"/>
        <v>1.4662671371124238</v>
      </c>
      <c r="BK102" s="10">
        <f t="shared" si="5"/>
        <v>1.3520408163265305E-2</v>
      </c>
      <c r="BL102">
        <f t="shared" si="6"/>
        <v>781</v>
      </c>
      <c r="BM102">
        <f t="shared" si="7"/>
        <v>1</v>
      </c>
      <c r="BQ102">
        <v>14087</v>
      </c>
      <c r="BR102">
        <v>1.4662671371124238</v>
      </c>
      <c r="BS102">
        <v>781</v>
      </c>
      <c r="BT102">
        <v>-71.139770999999996</v>
      </c>
      <c r="BU102">
        <v>36.528973000000001</v>
      </c>
      <c r="BV102">
        <v>3.7928397999999999</v>
      </c>
    </row>
    <row r="103" spans="1:74" x14ac:dyDescent="0.2">
      <c r="A103" t="s">
        <v>204</v>
      </c>
      <c r="B103">
        <v>756</v>
      </c>
      <c r="C103">
        <v>42.326282999999997</v>
      </c>
      <c r="D103">
        <v>-71.191399000000004</v>
      </c>
      <c r="E103">
        <v>660.32001000000002</v>
      </c>
      <c r="F103">
        <v>2578</v>
      </c>
      <c r="G103">
        <v>9.1864547999999999</v>
      </c>
      <c r="H103">
        <v>3738</v>
      </c>
      <c r="I103">
        <v>127</v>
      </c>
      <c r="J103" t="s">
        <v>108</v>
      </c>
      <c r="K103" t="s">
        <v>75</v>
      </c>
      <c r="L103">
        <v>6.2206820000000003E-2</v>
      </c>
      <c r="M103">
        <v>1</v>
      </c>
      <c r="N103">
        <v>3034</v>
      </c>
      <c r="O103">
        <v>44.1</v>
      </c>
      <c r="P103">
        <v>41.6</v>
      </c>
      <c r="Q103">
        <v>2.5</v>
      </c>
      <c r="R103">
        <v>18</v>
      </c>
      <c r="S103">
        <v>6</v>
      </c>
      <c r="T103">
        <v>0</v>
      </c>
      <c r="U103">
        <v>3.3</v>
      </c>
      <c r="V103">
        <v>28.7</v>
      </c>
      <c r="W103">
        <v>11.6</v>
      </c>
      <c r="X103">
        <v>13.6</v>
      </c>
      <c r="Y103">
        <v>10.9</v>
      </c>
      <c r="Z103">
        <v>13.1</v>
      </c>
      <c r="AA103">
        <v>4.5</v>
      </c>
      <c r="AB103">
        <v>16.399999999999999</v>
      </c>
      <c r="AC103">
        <v>7.4</v>
      </c>
      <c r="AD103">
        <v>15.4</v>
      </c>
      <c r="AE103">
        <v>7</v>
      </c>
      <c r="AF103">
        <v>28.3</v>
      </c>
      <c r="AG103">
        <v>6139</v>
      </c>
      <c r="AH103">
        <v>382</v>
      </c>
      <c r="AI103">
        <v>343</v>
      </c>
      <c r="AJ103">
        <v>553</v>
      </c>
      <c r="AK103">
        <v>387</v>
      </c>
      <c r="AL103">
        <v>129</v>
      </c>
      <c r="AM103">
        <v>283</v>
      </c>
      <c r="AN103">
        <v>325</v>
      </c>
      <c r="AO103">
        <v>352</v>
      </c>
      <c r="AP103">
        <v>327</v>
      </c>
      <c r="AQ103">
        <v>311</v>
      </c>
      <c r="AR103">
        <v>668</v>
      </c>
      <c r="AS103">
        <v>142</v>
      </c>
      <c r="AT103">
        <v>455</v>
      </c>
      <c r="AU103">
        <v>455</v>
      </c>
      <c r="AV103">
        <v>294</v>
      </c>
      <c r="AW103">
        <v>253</v>
      </c>
      <c r="AX103">
        <v>353</v>
      </c>
      <c r="AY103">
        <v>127</v>
      </c>
      <c r="AZ103">
        <v>44.9</v>
      </c>
      <c r="BA103">
        <v>97.5</v>
      </c>
      <c r="BB103">
        <v>6.7217374000000003</v>
      </c>
      <c r="BC103">
        <v>4.4603700999999996</v>
      </c>
      <c r="BD103">
        <v>0</v>
      </c>
      <c r="BE103">
        <v>1</v>
      </c>
      <c r="BF103">
        <v>1</v>
      </c>
      <c r="BG103">
        <v>2</v>
      </c>
      <c r="BH103">
        <v>130</v>
      </c>
      <c r="BI103">
        <v>274</v>
      </c>
      <c r="BJ103">
        <f t="shared" si="4"/>
        <v>4.0176795352534231</v>
      </c>
      <c r="BK103" s="10">
        <f t="shared" si="5"/>
        <v>9.45945945945946E-3</v>
      </c>
      <c r="BL103">
        <f t="shared" si="6"/>
        <v>516</v>
      </c>
      <c r="BM103">
        <f t="shared" si="7"/>
        <v>1</v>
      </c>
      <c r="BQ103">
        <v>756</v>
      </c>
      <c r="BR103">
        <v>4.0176795352534231</v>
      </c>
      <c r="BS103">
        <v>516</v>
      </c>
      <c r="BT103">
        <v>-71.191399000000004</v>
      </c>
      <c r="BU103">
        <v>9.1864547999999999</v>
      </c>
      <c r="BV103">
        <v>6.7217374000000003</v>
      </c>
    </row>
    <row r="104" spans="1:74" x14ac:dyDescent="0.2">
      <c r="A104" t="s">
        <v>205</v>
      </c>
      <c r="B104">
        <v>2998</v>
      </c>
      <c r="C104">
        <v>42.346958000000001</v>
      </c>
      <c r="D104">
        <v>-71.137985</v>
      </c>
      <c r="E104">
        <v>56.939999</v>
      </c>
      <c r="F104">
        <v>2384</v>
      </c>
      <c r="G104">
        <v>79.329116999999997</v>
      </c>
      <c r="H104">
        <v>7.01</v>
      </c>
      <c r="I104">
        <v>10</v>
      </c>
      <c r="J104" t="s">
        <v>130</v>
      </c>
      <c r="K104" t="s">
        <v>66</v>
      </c>
      <c r="L104">
        <v>8.6963559999999995E-2</v>
      </c>
      <c r="M104">
        <v>2</v>
      </c>
      <c r="N104">
        <v>2989</v>
      </c>
      <c r="O104">
        <v>19.399999999999999</v>
      </c>
      <c r="P104">
        <v>13</v>
      </c>
      <c r="Q104">
        <v>6.3</v>
      </c>
      <c r="R104">
        <v>31.5</v>
      </c>
      <c r="S104">
        <v>8</v>
      </c>
      <c r="T104">
        <v>4.4000000000000004</v>
      </c>
      <c r="U104">
        <v>0</v>
      </c>
      <c r="V104">
        <v>36.799999999999997</v>
      </c>
      <c r="W104">
        <v>1.4</v>
      </c>
      <c r="X104">
        <v>8.4</v>
      </c>
      <c r="Y104">
        <v>8.8000000000000007</v>
      </c>
      <c r="Z104">
        <v>5.2</v>
      </c>
      <c r="AA104">
        <v>8.3000000000000007</v>
      </c>
      <c r="AB104">
        <v>19.399999999999999</v>
      </c>
      <c r="AC104">
        <v>11.2</v>
      </c>
      <c r="AD104">
        <v>23.5</v>
      </c>
      <c r="AE104">
        <v>13.9</v>
      </c>
      <c r="AF104">
        <v>36.5</v>
      </c>
      <c r="AG104">
        <v>4111</v>
      </c>
      <c r="AH104">
        <v>12</v>
      </c>
      <c r="AI104">
        <v>0</v>
      </c>
      <c r="AJ104">
        <v>7</v>
      </c>
      <c r="AK104">
        <v>14</v>
      </c>
      <c r="AL104">
        <v>634</v>
      </c>
      <c r="AM104">
        <v>2042</v>
      </c>
      <c r="AN104">
        <v>559</v>
      </c>
      <c r="AO104">
        <v>241</v>
      </c>
      <c r="AP104">
        <v>138</v>
      </c>
      <c r="AQ104">
        <v>79</v>
      </c>
      <c r="AR104">
        <v>29</v>
      </c>
      <c r="AS104">
        <v>56</v>
      </c>
      <c r="AT104">
        <v>99</v>
      </c>
      <c r="AU104">
        <v>60</v>
      </c>
      <c r="AV104">
        <v>96</v>
      </c>
      <c r="AW104">
        <v>24</v>
      </c>
      <c r="AX104">
        <v>0</v>
      </c>
      <c r="AY104">
        <v>21</v>
      </c>
      <c r="AZ104">
        <v>27.5</v>
      </c>
      <c r="BA104">
        <v>132.69999999999999</v>
      </c>
      <c r="BB104">
        <v>3.7340434</v>
      </c>
      <c r="BC104">
        <v>1.7748842</v>
      </c>
      <c r="BD104">
        <v>1</v>
      </c>
      <c r="BE104">
        <v>0</v>
      </c>
      <c r="BF104">
        <v>2</v>
      </c>
      <c r="BG104">
        <v>11</v>
      </c>
      <c r="BH104">
        <v>11401.5</v>
      </c>
      <c r="BI104">
        <v>7353.4549999999999</v>
      </c>
      <c r="BJ104">
        <f t="shared" si="4"/>
        <v>1.3964983718157553</v>
      </c>
      <c r="BK104" s="10">
        <f t="shared" si="5"/>
        <v>1.2311809969889594E-2</v>
      </c>
      <c r="BL104">
        <f t="shared" si="6"/>
        <v>648</v>
      </c>
      <c r="BM104">
        <f t="shared" si="7"/>
        <v>1</v>
      </c>
      <c r="BQ104">
        <v>2998</v>
      </c>
      <c r="BR104">
        <v>1.3964983718157553</v>
      </c>
      <c r="BS104">
        <v>648</v>
      </c>
      <c r="BT104">
        <v>-71.137985</v>
      </c>
      <c r="BU104">
        <v>79.329116999999997</v>
      </c>
      <c r="BV104">
        <v>3.7340434</v>
      </c>
    </row>
    <row r="105" spans="1:74" x14ac:dyDescent="0.2">
      <c r="A105" t="s">
        <v>206</v>
      </c>
      <c r="B105">
        <v>2382</v>
      </c>
      <c r="C105">
        <v>42.312691000000001</v>
      </c>
      <c r="D105">
        <v>-71.101944000000003</v>
      </c>
      <c r="E105">
        <v>162.49001000000001</v>
      </c>
      <c r="F105">
        <v>2093</v>
      </c>
      <c r="G105">
        <v>31.509630000000001</v>
      </c>
      <c r="H105">
        <v>1203.01</v>
      </c>
      <c r="I105">
        <v>10</v>
      </c>
      <c r="J105" t="s">
        <v>111</v>
      </c>
      <c r="K105" t="s">
        <v>69</v>
      </c>
      <c r="L105">
        <v>0.61057346999999995</v>
      </c>
      <c r="M105">
        <v>0</v>
      </c>
      <c r="N105">
        <v>3324</v>
      </c>
      <c r="O105">
        <v>35.299999999999997</v>
      </c>
      <c r="P105">
        <v>34.4</v>
      </c>
      <c r="Q105">
        <v>0.9</v>
      </c>
      <c r="R105">
        <v>29.2</v>
      </c>
      <c r="S105">
        <v>7.3</v>
      </c>
      <c r="T105">
        <v>6.5</v>
      </c>
      <c r="U105">
        <v>0</v>
      </c>
      <c r="V105">
        <v>21.6</v>
      </c>
      <c r="W105">
        <v>10.6</v>
      </c>
      <c r="X105">
        <v>11.7</v>
      </c>
      <c r="Y105">
        <v>5.9</v>
      </c>
      <c r="Z105">
        <v>9.1999999999999993</v>
      </c>
      <c r="AA105">
        <v>4.9000000000000004</v>
      </c>
      <c r="AB105">
        <v>22.6</v>
      </c>
      <c r="AC105">
        <v>12.2</v>
      </c>
      <c r="AD105">
        <v>14.1</v>
      </c>
      <c r="AE105">
        <v>8.6999999999999993</v>
      </c>
      <c r="AF105">
        <v>29.6</v>
      </c>
      <c r="AG105">
        <v>5044</v>
      </c>
      <c r="AH105">
        <v>241</v>
      </c>
      <c r="AI105">
        <v>218</v>
      </c>
      <c r="AJ105">
        <v>138</v>
      </c>
      <c r="AK105">
        <v>180</v>
      </c>
      <c r="AL105">
        <v>325</v>
      </c>
      <c r="AM105">
        <v>913</v>
      </c>
      <c r="AN105">
        <v>750</v>
      </c>
      <c r="AO105">
        <v>413</v>
      </c>
      <c r="AP105">
        <v>284</v>
      </c>
      <c r="AQ105">
        <v>265</v>
      </c>
      <c r="AR105">
        <v>411</v>
      </c>
      <c r="AS105">
        <v>123</v>
      </c>
      <c r="AT105">
        <v>268</v>
      </c>
      <c r="AU105">
        <v>234</v>
      </c>
      <c r="AV105">
        <v>153</v>
      </c>
      <c r="AW105">
        <v>65</v>
      </c>
      <c r="AX105">
        <v>44</v>
      </c>
      <c r="AY105">
        <v>19</v>
      </c>
      <c r="AZ105">
        <v>32.9</v>
      </c>
      <c r="BA105">
        <v>93.3</v>
      </c>
      <c r="BB105">
        <v>3.4662050999999998</v>
      </c>
      <c r="BC105">
        <v>1.7477742000000001</v>
      </c>
      <c r="BD105">
        <v>1</v>
      </c>
      <c r="BE105">
        <v>0</v>
      </c>
      <c r="BF105">
        <v>0</v>
      </c>
      <c r="BG105">
        <v>4</v>
      </c>
      <c r="BH105">
        <v>0</v>
      </c>
      <c r="BI105">
        <v>2602.75</v>
      </c>
      <c r="BJ105">
        <f t="shared" si="4"/>
        <v>2.2463215646772756</v>
      </c>
      <c r="BK105" s="10">
        <f t="shared" si="5"/>
        <v>6.4981949458483759E-3</v>
      </c>
      <c r="BL105">
        <f t="shared" si="6"/>
        <v>505</v>
      </c>
      <c r="BM105">
        <f t="shared" si="7"/>
        <v>0</v>
      </c>
      <c r="BQ105">
        <v>2382</v>
      </c>
      <c r="BR105">
        <v>2.2463215646772756</v>
      </c>
      <c r="BS105">
        <v>505</v>
      </c>
      <c r="BT105">
        <v>-71.101944000000003</v>
      </c>
      <c r="BU105">
        <v>31.509630000000001</v>
      </c>
      <c r="BV105">
        <v>3.4662050999999998</v>
      </c>
    </row>
    <row r="106" spans="1:74" x14ac:dyDescent="0.2">
      <c r="A106" t="s">
        <v>207</v>
      </c>
      <c r="B106">
        <v>7423</v>
      </c>
      <c r="C106">
        <v>42.341858000000002</v>
      </c>
      <c r="D106">
        <v>-71.135170000000002</v>
      </c>
      <c r="E106">
        <v>108.77</v>
      </c>
      <c r="F106">
        <v>850</v>
      </c>
      <c r="G106">
        <v>18.80114</v>
      </c>
      <c r="H106">
        <v>4004.02</v>
      </c>
      <c r="I106">
        <v>4</v>
      </c>
      <c r="J106" t="s">
        <v>208</v>
      </c>
      <c r="K106" t="s">
        <v>63</v>
      </c>
      <c r="L106">
        <v>0.14831357000000001</v>
      </c>
      <c r="M106">
        <v>2</v>
      </c>
      <c r="N106">
        <v>1269</v>
      </c>
      <c r="O106">
        <v>43.6</v>
      </c>
      <c r="P106">
        <v>37.700000000000003</v>
      </c>
      <c r="Q106">
        <v>5.8</v>
      </c>
      <c r="R106">
        <v>17.3</v>
      </c>
      <c r="S106">
        <v>7.4</v>
      </c>
      <c r="T106">
        <v>5.4</v>
      </c>
      <c r="U106">
        <v>0</v>
      </c>
      <c r="V106">
        <v>26.3</v>
      </c>
      <c r="W106">
        <v>0.03</v>
      </c>
      <c r="X106">
        <v>7.9000000000000001E-2</v>
      </c>
      <c r="Y106">
        <v>0.129</v>
      </c>
      <c r="Z106">
        <v>0.122</v>
      </c>
      <c r="AA106">
        <v>8.3000000000000004E-2</v>
      </c>
      <c r="AB106">
        <v>0.249</v>
      </c>
      <c r="AC106">
        <v>0.161</v>
      </c>
      <c r="AD106">
        <v>4.7E-2</v>
      </c>
      <c r="AE106">
        <v>9.8000000000000004E-2</v>
      </c>
      <c r="AF106">
        <v>29.6</v>
      </c>
      <c r="AG106">
        <v>1957</v>
      </c>
      <c r="AH106">
        <v>94</v>
      </c>
      <c r="AI106">
        <v>65</v>
      </c>
      <c r="AJ106">
        <v>236</v>
      </c>
      <c r="AK106">
        <v>40</v>
      </c>
      <c r="AL106">
        <v>82</v>
      </c>
      <c r="AM106">
        <v>163</v>
      </c>
      <c r="AN106">
        <v>101</v>
      </c>
      <c r="AO106">
        <v>91</v>
      </c>
      <c r="AP106">
        <v>160</v>
      </c>
      <c r="AQ106">
        <v>273</v>
      </c>
      <c r="AR106">
        <v>127</v>
      </c>
      <c r="AS106">
        <v>183</v>
      </c>
      <c r="AT106">
        <v>85</v>
      </c>
      <c r="AU106">
        <v>102</v>
      </c>
      <c r="AV106">
        <v>90</v>
      </c>
      <c r="AW106">
        <v>7</v>
      </c>
      <c r="AX106">
        <v>44</v>
      </c>
      <c r="AY106">
        <v>14</v>
      </c>
      <c r="AZ106">
        <v>44.4</v>
      </c>
      <c r="BA106">
        <v>110</v>
      </c>
      <c r="BB106">
        <v>3.6638853999999998</v>
      </c>
      <c r="BC106">
        <v>1.5409096</v>
      </c>
      <c r="BD106">
        <v>0</v>
      </c>
      <c r="BE106">
        <v>0</v>
      </c>
      <c r="BF106">
        <v>0</v>
      </c>
      <c r="BG106">
        <v>3</v>
      </c>
      <c r="BH106">
        <v>0</v>
      </c>
      <c r="BI106">
        <v>4503.6670000000004</v>
      </c>
      <c r="BJ106">
        <f t="shared" si="4"/>
        <v>1.3496369402277999</v>
      </c>
      <c r="BK106" s="10">
        <f t="shared" si="5"/>
        <v>2.0724980299448387E-2</v>
      </c>
      <c r="BL106">
        <f t="shared" si="6"/>
        <v>122</v>
      </c>
      <c r="BM106">
        <f t="shared" si="7"/>
        <v>1</v>
      </c>
      <c r="BQ106">
        <v>7423</v>
      </c>
      <c r="BR106">
        <v>1.3496369402277999</v>
      </c>
      <c r="BS106">
        <v>122</v>
      </c>
      <c r="BT106">
        <v>-71.135170000000002</v>
      </c>
      <c r="BU106">
        <v>18.80114</v>
      </c>
      <c r="BV106">
        <v>3.6638853999999998</v>
      </c>
    </row>
    <row r="107" spans="1:74" x14ac:dyDescent="0.2">
      <c r="A107" t="s">
        <v>209</v>
      </c>
      <c r="B107">
        <v>4482</v>
      </c>
      <c r="C107">
        <v>42.344172999999998</v>
      </c>
      <c r="D107">
        <v>-71.158828999999997</v>
      </c>
      <c r="E107">
        <v>199.34</v>
      </c>
      <c r="F107">
        <v>1621</v>
      </c>
      <c r="G107">
        <v>18.280325000000001</v>
      </c>
      <c r="H107">
        <v>4.0199999999999996</v>
      </c>
      <c r="I107">
        <v>10</v>
      </c>
      <c r="J107" t="s">
        <v>140</v>
      </c>
      <c r="K107" t="s">
        <v>66</v>
      </c>
      <c r="L107">
        <v>0.64806651999999998</v>
      </c>
      <c r="M107">
        <v>0</v>
      </c>
      <c r="N107">
        <v>2166</v>
      </c>
      <c r="O107">
        <v>45</v>
      </c>
      <c r="P107">
        <v>28.3</v>
      </c>
      <c r="Q107">
        <v>16.600000000000001</v>
      </c>
      <c r="R107">
        <v>16.899999999999999</v>
      </c>
      <c r="S107">
        <v>11.8</v>
      </c>
      <c r="T107">
        <v>2.4</v>
      </c>
      <c r="U107">
        <v>0.5</v>
      </c>
      <c r="V107">
        <v>23.5</v>
      </c>
      <c r="W107">
        <v>5.5</v>
      </c>
      <c r="X107">
        <v>4.8</v>
      </c>
      <c r="Y107">
        <v>10.199999999999999</v>
      </c>
      <c r="Z107">
        <v>26.7</v>
      </c>
      <c r="AA107">
        <v>7.5</v>
      </c>
      <c r="AB107">
        <v>13.5</v>
      </c>
      <c r="AC107">
        <v>6.7</v>
      </c>
      <c r="AD107">
        <v>10.6</v>
      </c>
      <c r="AE107">
        <v>14.5</v>
      </c>
      <c r="AF107">
        <v>32.1</v>
      </c>
      <c r="AG107">
        <v>3672</v>
      </c>
      <c r="AH107">
        <v>161</v>
      </c>
      <c r="AI107">
        <v>33</v>
      </c>
      <c r="AJ107">
        <v>59</v>
      </c>
      <c r="AK107">
        <v>79</v>
      </c>
      <c r="AL107">
        <v>626</v>
      </c>
      <c r="AM107">
        <v>632</v>
      </c>
      <c r="AN107">
        <v>509</v>
      </c>
      <c r="AO107">
        <v>315</v>
      </c>
      <c r="AP107">
        <v>200</v>
      </c>
      <c r="AQ107">
        <v>180</v>
      </c>
      <c r="AR107">
        <v>140</v>
      </c>
      <c r="AS107">
        <v>169</v>
      </c>
      <c r="AT107">
        <v>132</v>
      </c>
      <c r="AU107">
        <v>80</v>
      </c>
      <c r="AV107">
        <v>67</v>
      </c>
      <c r="AW107">
        <v>179</v>
      </c>
      <c r="AX107">
        <v>4</v>
      </c>
      <c r="AY107">
        <v>107</v>
      </c>
      <c r="AZ107">
        <v>32.700000000000003</v>
      </c>
      <c r="BA107">
        <v>136.1</v>
      </c>
      <c r="BB107">
        <v>4.8154592999999997</v>
      </c>
      <c r="BC107">
        <v>2.7589412000000002</v>
      </c>
      <c r="BD107">
        <v>1</v>
      </c>
      <c r="BE107">
        <v>0</v>
      </c>
      <c r="BF107">
        <v>0</v>
      </c>
      <c r="BG107">
        <v>4</v>
      </c>
      <c r="BH107">
        <v>0</v>
      </c>
      <c r="BI107">
        <v>1611</v>
      </c>
      <c r="BJ107">
        <f t="shared" si="4"/>
        <v>2.3367441643519378</v>
      </c>
      <c r="BK107" s="10">
        <f t="shared" si="5"/>
        <v>1.084949215143121E-2</v>
      </c>
      <c r="BL107">
        <f t="shared" si="6"/>
        <v>705</v>
      </c>
      <c r="BM107">
        <f t="shared" si="7"/>
        <v>1</v>
      </c>
      <c r="BQ107">
        <v>4482</v>
      </c>
      <c r="BR107">
        <v>2.3367441643519378</v>
      </c>
      <c r="BS107">
        <v>705</v>
      </c>
      <c r="BT107">
        <v>-71.158828999999997</v>
      </c>
      <c r="BU107">
        <v>18.280325000000001</v>
      </c>
      <c r="BV107">
        <v>4.8154592999999997</v>
      </c>
    </row>
    <row r="108" spans="1:74" x14ac:dyDescent="0.2">
      <c r="A108" t="s">
        <v>210</v>
      </c>
      <c r="B108">
        <v>507</v>
      </c>
      <c r="C108">
        <v>42.347487999999998</v>
      </c>
      <c r="D108">
        <v>-71.201949999999997</v>
      </c>
      <c r="E108">
        <v>297.44</v>
      </c>
      <c r="F108">
        <v>1492</v>
      </c>
      <c r="G108">
        <v>11.158552999999999</v>
      </c>
      <c r="H108">
        <v>3734</v>
      </c>
      <c r="I108">
        <v>127</v>
      </c>
      <c r="J108" t="s">
        <v>108</v>
      </c>
      <c r="K108" t="s">
        <v>75</v>
      </c>
      <c r="L108">
        <v>1.7260249000000001</v>
      </c>
      <c r="M108">
        <v>0</v>
      </c>
      <c r="N108">
        <v>1596</v>
      </c>
      <c r="O108">
        <v>53.2</v>
      </c>
      <c r="P108">
        <v>44.5</v>
      </c>
      <c r="Q108">
        <v>8.6</v>
      </c>
      <c r="R108">
        <v>8.3000000000000007</v>
      </c>
      <c r="S108">
        <v>2.2000000000000002</v>
      </c>
      <c r="T108">
        <v>2.2999999999999998</v>
      </c>
      <c r="U108">
        <v>0</v>
      </c>
      <c r="V108">
        <v>34</v>
      </c>
      <c r="W108">
        <v>8.4</v>
      </c>
      <c r="X108">
        <v>12.8</v>
      </c>
      <c r="Y108">
        <v>3.4</v>
      </c>
      <c r="Z108">
        <v>17.899999999999999</v>
      </c>
      <c r="AA108">
        <v>13.1</v>
      </c>
      <c r="AB108">
        <v>19.3</v>
      </c>
      <c r="AC108">
        <v>8.8000000000000007</v>
      </c>
      <c r="AD108">
        <v>10.4</v>
      </c>
      <c r="AE108">
        <v>5.9</v>
      </c>
      <c r="AF108">
        <v>26.8</v>
      </c>
      <c r="AG108">
        <v>3459</v>
      </c>
      <c r="AH108">
        <v>156</v>
      </c>
      <c r="AI108">
        <v>193</v>
      </c>
      <c r="AJ108">
        <v>148</v>
      </c>
      <c r="AK108">
        <v>314</v>
      </c>
      <c r="AL108">
        <v>287</v>
      </c>
      <c r="AM108">
        <v>230</v>
      </c>
      <c r="AN108">
        <v>164</v>
      </c>
      <c r="AO108">
        <v>204</v>
      </c>
      <c r="AP108">
        <v>170</v>
      </c>
      <c r="AQ108">
        <v>223</v>
      </c>
      <c r="AR108">
        <v>202</v>
      </c>
      <c r="AS108">
        <v>266</v>
      </c>
      <c r="AT108">
        <v>204</v>
      </c>
      <c r="AU108">
        <v>174</v>
      </c>
      <c r="AV108">
        <v>195</v>
      </c>
      <c r="AW108">
        <v>150</v>
      </c>
      <c r="AX108">
        <v>61</v>
      </c>
      <c r="AY108">
        <v>118</v>
      </c>
      <c r="AZ108">
        <v>41.3</v>
      </c>
      <c r="BA108">
        <v>96.9</v>
      </c>
      <c r="BB108">
        <v>6.9776296999999996</v>
      </c>
      <c r="BC108">
        <v>4.9711584999999996</v>
      </c>
      <c r="BD108">
        <v>0</v>
      </c>
      <c r="BE108">
        <v>1</v>
      </c>
      <c r="BF108">
        <v>0</v>
      </c>
      <c r="BG108">
        <v>2</v>
      </c>
      <c r="BH108">
        <v>0</v>
      </c>
      <c r="BI108">
        <v>915.5</v>
      </c>
      <c r="BJ108">
        <f t="shared" si="4"/>
        <v>4.2293024533046752</v>
      </c>
      <c r="BK108" s="10">
        <f t="shared" si="5"/>
        <v>2.1303258145363407E-2</v>
      </c>
      <c r="BL108">
        <f t="shared" si="6"/>
        <v>601</v>
      </c>
      <c r="BM108">
        <f t="shared" si="7"/>
        <v>1</v>
      </c>
      <c r="BQ108">
        <v>507</v>
      </c>
      <c r="BR108">
        <v>4.2293024533046752</v>
      </c>
      <c r="BS108">
        <v>601</v>
      </c>
      <c r="BT108">
        <v>-71.201949999999997</v>
      </c>
      <c r="BU108">
        <v>11.158552999999999</v>
      </c>
      <c r="BV108">
        <v>6.9776296999999996</v>
      </c>
    </row>
    <row r="109" spans="1:74" x14ac:dyDescent="0.2">
      <c r="A109" t="s">
        <v>211</v>
      </c>
      <c r="B109">
        <v>1023</v>
      </c>
      <c r="C109">
        <v>42.282916999999998</v>
      </c>
      <c r="D109">
        <v>-71.132606999999993</v>
      </c>
      <c r="E109">
        <v>169.08</v>
      </c>
      <c r="F109">
        <v>1765</v>
      </c>
      <c r="G109">
        <v>23.657440000000001</v>
      </c>
      <c r="H109">
        <v>1105.02</v>
      </c>
      <c r="I109">
        <v>10</v>
      </c>
      <c r="J109" t="s">
        <v>68</v>
      </c>
      <c r="K109" t="s">
        <v>69</v>
      </c>
      <c r="L109">
        <v>1.7268797</v>
      </c>
      <c r="M109">
        <v>0</v>
      </c>
      <c r="N109">
        <v>2584</v>
      </c>
      <c r="O109">
        <v>51.8</v>
      </c>
      <c r="P109">
        <v>46</v>
      </c>
      <c r="Q109">
        <v>5.8</v>
      </c>
      <c r="R109">
        <v>15</v>
      </c>
      <c r="S109">
        <v>4.0999999999999996</v>
      </c>
      <c r="T109">
        <v>2.6</v>
      </c>
      <c r="U109">
        <v>0</v>
      </c>
      <c r="V109">
        <v>26.4</v>
      </c>
      <c r="W109">
        <v>7.6</v>
      </c>
      <c r="X109">
        <v>5.6</v>
      </c>
      <c r="Y109">
        <v>13.6</v>
      </c>
      <c r="Z109">
        <v>6</v>
      </c>
      <c r="AA109">
        <v>11.4</v>
      </c>
      <c r="AB109">
        <v>15</v>
      </c>
      <c r="AC109">
        <v>17.7</v>
      </c>
      <c r="AD109">
        <v>12.4</v>
      </c>
      <c r="AE109">
        <v>10.7</v>
      </c>
      <c r="AF109">
        <v>31.8</v>
      </c>
      <c r="AG109">
        <v>3945</v>
      </c>
      <c r="AH109">
        <v>121</v>
      </c>
      <c r="AI109">
        <v>112</v>
      </c>
      <c r="AJ109">
        <v>197</v>
      </c>
      <c r="AK109">
        <v>198</v>
      </c>
      <c r="AL109">
        <v>159</v>
      </c>
      <c r="AM109">
        <v>361</v>
      </c>
      <c r="AN109">
        <v>604</v>
      </c>
      <c r="AO109">
        <v>428</v>
      </c>
      <c r="AP109">
        <v>235</v>
      </c>
      <c r="AQ109">
        <v>190</v>
      </c>
      <c r="AR109">
        <v>352</v>
      </c>
      <c r="AS109">
        <v>267</v>
      </c>
      <c r="AT109">
        <v>246</v>
      </c>
      <c r="AU109">
        <v>205</v>
      </c>
      <c r="AV109">
        <v>104</v>
      </c>
      <c r="AW109">
        <v>62</v>
      </c>
      <c r="AX109">
        <v>40</v>
      </c>
      <c r="AY109">
        <v>64</v>
      </c>
      <c r="AZ109">
        <v>37.4</v>
      </c>
      <c r="BA109">
        <v>118.4</v>
      </c>
      <c r="BB109">
        <v>6.0466647</v>
      </c>
      <c r="BC109">
        <v>4.0406170000000001</v>
      </c>
      <c r="BD109">
        <v>1</v>
      </c>
      <c r="BE109">
        <v>0</v>
      </c>
      <c r="BF109">
        <v>0</v>
      </c>
      <c r="BG109">
        <v>2</v>
      </c>
      <c r="BH109">
        <v>0</v>
      </c>
      <c r="BI109">
        <v>995.5</v>
      </c>
      <c r="BJ109">
        <f t="shared" si="4"/>
        <v>4.1857916107451265</v>
      </c>
      <c r="BK109" s="10">
        <f t="shared" si="5"/>
        <v>1.0216718266253869E-2</v>
      </c>
      <c r="BL109">
        <f t="shared" si="6"/>
        <v>357</v>
      </c>
      <c r="BM109">
        <f t="shared" si="7"/>
        <v>0</v>
      </c>
      <c r="BQ109">
        <v>1023</v>
      </c>
      <c r="BR109">
        <v>4.1857916107451265</v>
      </c>
      <c r="BS109">
        <v>357</v>
      </c>
      <c r="BT109">
        <v>-71.132606999999993</v>
      </c>
      <c r="BU109">
        <v>23.657440000000001</v>
      </c>
      <c r="BV109">
        <v>6.0466647</v>
      </c>
    </row>
    <row r="110" spans="1:74" x14ac:dyDescent="0.2">
      <c r="A110" t="s">
        <v>212</v>
      </c>
      <c r="B110">
        <v>6488</v>
      </c>
      <c r="C110">
        <v>42.343181999999999</v>
      </c>
      <c r="D110">
        <v>-71.141113000000004</v>
      </c>
      <c r="E110">
        <v>35.68</v>
      </c>
      <c r="F110">
        <v>1084</v>
      </c>
      <c r="G110">
        <v>61.547085000000003</v>
      </c>
      <c r="H110">
        <v>5.05</v>
      </c>
      <c r="I110">
        <v>10</v>
      </c>
      <c r="J110" t="s">
        <v>202</v>
      </c>
      <c r="K110" t="s">
        <v>66</v>
      </c>
      <c r="L110">
        <v>0.26696568999999998</v>
      </c>
      <c r="M110">
        <v>0</v>
      </c>
      <c r="N110">
        <v>1176</v>
      </c>
      <c r="O110">
        <v>33.1</v>
      </c>
      <c r="P110">
        <v>30.4</v>
      </c>
      <c r="Q110">
        <v>2.6</v>
      </c>
      <c r="R110">
        <v>44</v>
      </c>
      <c r="S110">
        <v>6</v>
      </c>
      <c r="T110">
        <v>0.8</v>
      </c>
      <c r="U110">
        <v>1.6</v>
      </c>
      <c r="V110">
        <v>14.5</v>
      </c>
      <c r="W110">
        <v>2.2999999999999998</v>
      </c>
      <c r="X110">
        <v>0</v>
      </c>
      <c r="Y110">
        <v>6.4</v>
      </c>
      <c r="Z110">
        <v>4.0999999999999996</v>
      </c>
      <c r="AA110">
        <v>0</v>
      </c>
      <c r="AB110">
        <v>24</v>
      </c>
      <c r="AC110">
        <v>17</v>
      </c>
      <c r="AD110">
        <v>20.9</v>
      </c>
      <c r="AE110">
        <v>25.4</v>
      </c>
      <c r="AF110">
        <v>42.5</v>
      </c>
      <c r="AG110">
        <v>1912</v>
      </c>
      <c r="AH110">
        <v>0</v>
      </c>
      <c r="AI110">
        <v>0</v>
      </c>
      <c r="AJ110">
        <v>61</v>
      </c>
      <c r="AK110">
        <v>62</v>
      </c>
      <c r="AL110">
        <v>219</v>
      </c>
      <c r="AM110">
        <v>489</v>
      </c>
      <c r="AN110">
        <v>256</v>
      </c>
      <c r="AO110">
        <v>184</v>
      </c>
      <c r="AP110">
        <v>45</v>
      </c>
      <c r="AQ110">
        <v>19</v>
      </c>
      <c r="AR110">
        <v>52</v>
      </c>
      <c r="AS110">
        <v>30</v>
      </c>
      <c r="AT110">
        <v>120</v>
      </c>
      <c r="AU110">
        <v>103</v>
      </c>
      <c r="AV110">
        <v>84</v>
      </c>
      <c r="AW110">
        <v>90</v>
      </c>
      <c r="AX110">
        <v>10</v>
      </c>
      <c r="AY110">
        <v>88</v>
      </c>
      <c r="AZ110">
        <v>31.8</v>
      </c>
      <c r="BA110">
        <v>92.7</v>
      </c>
      <c r="BB110">
        <v>3.9383306999999999</v>
      </c>
      <c r="BC110">
        <v>1.8562765000000001</v>
      </c>
      <c r="BD110">
        <v>1</v>
      </c>
      <c r="BE110">
        <v>0</v>
      </c>
      <c r="BF110">
        <v>2</v>
      </c>
      <c r="BG110">
        <v>7</v>
      </c>
      <c r="BH110">
        <v>1594</v>
      </c>
      <c r="BI110">
        <v>5065.857</v>
      </c>
      <c r="BJ110">
        <f t="shared" si="4"/>
        <v>1.5767582710781911</v>
      </c>
      <c r="BK110" s="10">
        <f t="shared" si="5"/>
        <v>1.2329931972789115E-2</v>
      </c>
      <c r="BL110">
        <f t="shared" si="6"/>
        <v>281</v>
      </c>
      <c r="BM110">
        <f t="shared" si="7"/>
        <v>1</v>
      </c>
      <c r="BQ110">
        <v>6488</v>
      </c>
      <c r="BR110">
        <v>1.5767582710781911</v>
      </c>
      <c r="BS110">
        <v>281</v>
      </c>
      <c r="BT110">
        <v>-71.141113000000004</v>
      </c>
      <c r="BU110">
        <v>61.547085000000003</v>
      </c>
      <c r="BV110">
        <v>3.9383306999999999</v>
      </c>
    </row>
    <row r="111" spans="1:74" x14ac:dyDescent="0.2">
      <c r="A111" t="s">
        <v>213</v>
      </c>
      <c r="B111">
        <v>975</v>
      </c>
      <c r="C111">
        <v>42.356971999999999</v>
      </c>
      <c r="D111">
        <v>-71.209000000000003</v>
      </c>
      <c r="E111">
        <v>313.37</v>
      </c>
      <c r="F111">
        <v>1296</v>
      </c>
      <c r="G111">
        <v>9.8924599000000004</v>
      </c>
      <c r="H111">
        <v>3733</v>
      </c>
      <c r="I111">
        <v>127</v>
      </c>
      <c r="J111" t="s">
        <v>108</v>
      </c>
      <c r="K111" t="s">
        <v>75</v>
      </c>
      <c r="L111">
        <v>1.7067163999999999</v>
      </c>
      <c r="M111">
        <v>0</v>
      </c>
      <c r="N111">
        <v>1670</v>
      </c>
      <c r="O111">
        <v>50.7</v>
      </c>
      <c r="P111">
        <v>44.8</v>
      </c>
      <c r="Q111">
        <v>5.9</v>
      </c>
      <c r="R111">
        <v>11.8</v>
      </c>
      <c r="S111">
        <v>3</v>
      </c>
      <c r="T111">
        <v>2.2000000000000002</v>
      </c>
      <c r="U111">
        <v>0</v>
      </c>
      <c r="V111">
        <v>32.299999999999997</v>
      </c>
      <c r="W111">
        <v>7.1</v>
      </c>
      <c r="X111">
        <v>6.2</v>
      </c>
      <c r="Y111">
        <v>16.5</v>
      </c>
      <c r="Z111">
        <v>17.5</v>
      </c>
      <c r="AA111">
        <v>8.8000000000000007</v>
      </c>
      <c r="AB111">
        <v>17.8</v>
      </c>
      <c r="AC111">
        <v>10.6</v>
      </c>
      <c r="AD111">
        <v>11.9</v>
      </c>
      <c r="AE111">
        <v>3.6</v>
      </c>
      <c r="AF111">
        <v>28</v>
      </c>
      <c r="AG111">
        <v>3027</v>
      </c>
      <c r="AH111">
        <v>104</v>
      </c>
      <c r="AI111">
        <v>170</v>
      </c>
      <c r="AJ111">
        <v>205</v>
      </c>
      <c r="AK111">
        <v>256</v>
      </c>
      <c r="AL111">
        <v>167</v>
      </c>
      <c r="AM111">
        <v>81</v>
      </c>
      <c r="AN111">
        <v>169</v>
      </c>
      <c r="AO111">
        <v>187</v>
      </c>
      <c r="AP111">
        <v>236</v>
      </c>
      <c r="AQ111">
        <v>221</v>
      </c>
      <c r="AR111">
        <v>283</v>
      </c>
      <c r="AS111">
        <v>165</v>
      </c>
      <c r="AT111">
        <v>146</v>
      </c>
      <c r="AU111">
        <v>178</v>
      </c>
      <c r="AV111">
        <v>135</v>
      </c>
      <c r="AW111">
        <v>62</v>
      </c>
      <c r="AX111">
        <v>130</v>
      </c>
      <c r="AY111">
        <v>132</v>
      </c>
      <c r="AZ111">
        <v>43.9</v>
      </c>
      <c r="BA111">
        <v>90.1</v>
      </c>
      <c r="BB111">
        <v>7.3183651000000003</v>
      </c>
      <c r="BC111">
        <v>5.4486198000000003</v>
      </c>
      <c r="BD111">
        <v>0</v>
      </c>
      <c r="BE111">
        <v>1</v>
      </c>
      <c r="BF111">
        <v>0</v>
      </c>
      <c r="BG111">
        <v>2</v>
      </c>
      <c r="BH111">
        <v>0</v>
      </c>
      <c r="BI111">
        <v>492</v>
      </c>
      <c r="BJ111">
        <f t="shared" si="4"/>
        <v>4.5595902729459077</v>
      </c>
      <c r="BK111" s="10">
        <f t="shared" si="5"/>
        <v>1.9341317365269461E-2</v>
      </c>
      <c r="BL111">
        <f t="shared" si="6"/>
        <v>423</v>
      </c>
      <c r="BM111">
        <f t="shared" si="7"/>
        <v>1</v>
      </c>
      <c r="BQ111">
        <v>975</v>
      </c>
      <c r="BR111">
        <v>4.5595902729459077</v>
      </c>
      <c r="BS111">
        <v>423</v>
      </c>
      <c r="BT111">
        <v>-71.209000000000003</v>
      </c>
      <c r="BU111">
        <v>9.8924599000000004</v>
      </c>
      <c r="BV111">
        <v>7.3183651000000003</v>
      </c>
    </row>
    <row r="112" spans="1:74" x14ac:dyDescent="0.2">
      <c r="A112" t="s">
        <v>214</v>
      </c>
      <c r="B112">
        <v>477</v>
      </c>
      <c r="C112">
        <v>42.356971999999999</v>
      </c>
      <c r="D112">
        <v>-71.209000000000003</v>
      </c>
      <c r="E112">
        <v>313.37</v>
      </c>
      <c r="F112">
        <v>1296</v>
      </c>
      <c r="G112">
        <v>9.8924599000000004</v>
      </c>
      <c r="H112">
        <v>3733</v>
      </c>
      <c r="I112">
        <v>127</v>
      </c>
      <c r="J112" t="s">
        <v>108</v>
      </c>
      <c r="K112" t="s">
        <v>75</v>
      </c>
      <c r="L112">
        <v>2.0221632</v>
      </c>
      <c r="M112">
        <v>0</v>
      </c>
      <c r="N112">
        <v>1670</v>
      </c>
      <c r="O112">
        <v>50.7</v>
      </c>
      <c r="P112">
        <v>44.8</v>
      </c>
      <c r="Q112">
        <v>5.9</v>
      </c>
      <c r="R112">
        <v>11.8</v>
      </c>
      <c r="S112">
        <v>3</v>
      </c>
      <c r="T112">
        <v>2.2000000000000002</v>
      </c>
      <c r="U112">
        <v>0</v>
      </c>
      <c r="V112">
        <v>32.299999999999997</v>
      </c>
      <c r="W112">
        <v>7.1</v>
      </c>
      <c r="X112">
        <v>6.2</v>
      </c>
      <c r="Y112">
        <v>16.5</v>
      </c>
      <c r="Z112">
        <v>17.5</v>
      </c>
      <c r="AA112">
        <v>8.8000000000000007</v>
      </c>
      <c r="AB112">
        <v>17.8</v>
      </c>
      <c r="AC112">
        <v>10.6</v>
      </c>
      <c r="AD112">
        <v>11.9</v>
      </c>
      <c r="AE112">
        <v>3.6</v>
      </c>
      <c r="AF112">
        <v>28</v>
      </c>
      <c r="AG112">
        <v>3027</v>
      </c>
      <c r="AH112">
        <v>104</v>
      </c>
      <c r="AI112">
        <v>170</v>
      </c>
      <c r="AJ112">
        <v>205</v>
      </c>
      <c r="AK112">
        <v>256</v>
      </c>
      <c r="AL112">
        <v>167</v>
      </c>
      <c r="AM112">
        <v>81</v>
      </c>
      <c r="AN112">
        <v>169</v>
      </c>
      <c r="AO112">
        <v>187</v>
      </c>
      <c r="AP112">
        <v>236</v>
      </c>
      <c r="AQ112">
        <v>221</v>
      </c>
      <c r="AR112">
        <v>283</v>
      </c>
      <c r="AS112">
        <v>165</v>
      </c>
      <c r="AT112">
        <v>146</v>
      </c>
      <c r="AU112">
        <v>178</v>
      </c>
      <c r="AV112">
        <v>135</v>
      </c>
      <c r="AW112">
        <v>62</v>
      </c>
      <c r="AX112">
        <v>130</v>
      </c>
      <c r="AY112">
        <v>132</v>
      </c>
      <c r="AZ112">
        <v>43.9</v>
      </c>
      <c r="BA112">
        <v>90.1</v>
      </c>
      <c r="BB112">
        <v>7.3183651000000003</v>
      </c>
      <c r="BC112">
        <v>5.4486198000000003</v>
      </c>
      <c r="BD112">
        <v>0</v>
      </c>
      <c r="BE112">
        <v>1</v>
      </c>
      <c r="BF112">
        <v>0</v>
      </c>
      <c r="BG112">
        <v>1</v>
      </c>
      <c r="BH112">
        <v>0</v>
      </c>
      <c r="BI112">
        <v>975</v>
      </c>
      <c r="BJ112">
        <f t="shared" si="4"/>
        <v>4.5595902729459077</v>
      </c>
      <c r="BK112" s="10">
        <f t="shared" si="5"/>
        <v>1.9341317365269461E-2</v>
      </c>
      <c r="BL112">
        <f t="shared" si="6"/>
        <v>423</v>
      </c>
      <c r="BM112">
        <f t="shared" si="7"/>
        <v>1</v>
      </c>
      <c r="BQ112">
        <v>477</v>
      </c>
      <c r="BR112">
        <v>4.5595902729459077</v>
      </c>
      <c r="BS112">
        <v>423</v>
      </c>
      <c r="BT112">
        <v>-71.209000000000003</v>
      </c>
      <c r="BU112">
        <v>9.8924599000000004</v>
      </c>
      <c r="BV112">
        <v>7.3183651000000003</v>
      </c>
    </row>
    <row r="113" spans="1:74" x14ac:dyDescent="0.2">
      <c r="A113" t="s">
        <v>215</v>
      </c>
      <c r="B113">
        <v>5586</v>
      </c>
      <c r="C113">
        <v>42.334606000000001</v>
      </c>
      <c r="D113">
        <v>-71.096214000000003</v>
      </c>
      <c r="E113">
        <v>90.160004000000001</v>
      </c>
      <c r="F113">
        <v>1096</v>
      </c>
      <c r="G113">
        <v>47.493343000000003</v>
      </c>
      <c r="H113">
        <v>808.01</v>
      </c>
      <c r="I113">
        <v>10</v>
      </c>
      <c r="J113" t="s">
        <v>119</v>
      </c>
      <c r="K113" t="s">
        <v>75</v>
      </c>
      <c r="L113">
        <v>0.22508295</v>
      </c>
      <c r="M113">
        <v>1</v>
      </c>
      <c r="N113">
        <v>1787</v>
      </c>
      <c r="O113">
        <v>21.4</v>
      </c>
      <c r="P113">
        <v>20.7</v>
      </c>
      <c r="Q113">
        <v>0.7</v>
      </c>
      <c r="R113">
        <v>39.4</v>
      </c>
      <c r="S113">
        <v>33.200000000000003</v>
      </c>
      <c r="T113">
        <v>0</v>
      </c>
      <c r="U113">
        <v>2</v>
      </c>
      <c r="V113">
        <v>4.0999999999999996</v>
      </c>
      <c r="W113">
        <v>14.4</v>
      </c>
      <c r="X113">
        <v>10</v>
      </c>
      <c r="Y113">
        <v>17.899999999999999</v>
      </c>
      <c r="Z113">
        <v>14.1</v>
      </c>
      <c r="AA113">
        <v>5</v>
      </c>
      <c r="AB113">
        <v>19.100000000000001</v>
      </c>
      <c r="AC113">
        <v>9.3000000000000007</v>
      </c>
      <c r="AD113">
        <v>4.0999999999999996</v>
      </c>
      <c r="AE113">
        <v>6.2</v>
      </c>
      <c r="AF113">
        <v>23.4</v>
      </c>
      <c r="AG113">
        <v>4425</v>
      </c>
      <c r="AH113">
        <v>85</v>
      </c>
      <c r="AI113">
        <v>268</v>
      </c>
      <c r="AJ113">
        <v>167</v>
      </c>
      <c r="AK113">
        <v>1047</v>
      </c>
      <c r="AL113">
        <v>1065</v>
      </c>
      <c r="AM113">
        <v>416</v>
      </c>
      <c r="AN113">
        <v>234</v>
      </c>
      <c r="AO113">
        <v>145</v>
      </c>
      <c r="AP113">
        <v>78</v>
      </c>
      <c r="AQ113">
        <v>147</v>
      </c>
      <c r="AR113">
        <v>230</v>
      </c>
      <c r="AS113">
        <v>136</v>
      </c>
      <c r="AT113">
        <v>193</v>
      </c>
      <c r="AU113">
        <v>60</v>
      </c>
      <c r="AV113">
        <v>9</v>
      </c>
      <c r="AW113">
        <v>104</v>
      </c>
      <c r="AX113">
        <v>15</v>
      </c>
      <c r="AY113">
        <v>26</v>
      </c>
      <c r="AZ113">
        <v>21.7</v>
      </c>
      <c r="BA113">
        <v>95.4</v>
      </c>
      <c r="BB113">
        <v>2.1057229</v>
      </c>
      <c r="BC113">
        <v>0.52415900999999998</v>
      </c>
      <c r="BD113">
        <v>1</v>
      </c>
      <c r="BE113">
        <v>0</v>
      </c>
      <c r="BF113">
        <v>4</v>
      </c>
      <c r="BG113">
        <v>19</v>
      </c>
      <c r="BH113">
        <v>6771</v>
      </c>
      <c r="BI113">
        <v>11679.05</v>
      </c>
      <c r="BJ113">
        <f t="shared" si="4"/>
        <v>1.0320684166629246</v>
      </c>
      <c r="BK113" s="10">
        <f t="shared" si="5"/>
        <v>2.2943480693900392E-3</v>
      </c>
      <c r="BL113">
        <f t="shared" si="6"/>
        <v>2112</v>
      </c>
      <c r="BM113">
        <f t="shared" si="7"/>
        <v>1</v>
      </c>
      <c r="BQ113">
        <v>5586</v>
      </c>
      <c r="BR113">
        <v>1.0320684166629246</v>
      </c>
      <c r="BS113">
        <v>2112</v>
      </c>
      <c r="BT113">
        <v>-71.096214000000003</v>
      </c>
      <c r="BU113">
        <v>47.493343000000003</v>
      </c>
      <c r="BV113">
        <v>2.1057229</v>
      </c>
    </row>
    <row r="114" spans="1:74" x14ac:dyDescent="0.2">
      <c r="A114" t="s">
        <v>216</v>
      </c>
      <c r="B114">
        <v>539</v>
      </c>
      <c r="C114">
        <v>42.354118</v>
      </c>
      <c r="D114">
        <v>-71.220146</v>
      </c>
      <c r="E114">
        <v>448.48000999999999</v>
      </c>
      <c r="F114">
        <v>1735</v>
      </c>
      <c r="G114">
        <v>10.225650999999999</v>
      </c>
      <c r="H114">
        <v>3745</v>
      </c>
      <c r="I114">
        <v>127</v>
      </c>
      <c r="J114" t="s">
        <v>217</v>
      </c>
      <c r="K114" t="s">
        <v>75</v>
      </c>
      <c r="L114">
        <v>1.4459963</v>
      </c>
      <c r="M114">
        <v>0</v>
      </c>
      <c r="N114">
        <v>2519</v>
      </c>
      <c r="O114">
        <v>57.8</v>
      </c>
      <c r="P114">
        <v>53.9</v>
      </c>
      <c r="Q114">
        <v>4</v>
      </c>
      <c r="R114">
        <v>4.5</v>
      </c>
      <c r="S114">
        <v>9.1</v>
      </c>
      <c r="T114">
        <v>1</v>
      </c>
      <c r="U114">
        <v>0.4</v>
      </c>
      <c r="V114">
        <v>27.2</v>
      </c>
      <c r="W114">
        <v>13.6</v>
      </c>
      <c r="X114">
        <v>3.8</v>
      </c>
      <c r="Y114">
        <v>16.7</v>
      </c>
      <c r="Z114">
        <v>12.3</v>
      </c>
      <c r="AA114">
        <v>12.4</v>
      </c>
      <c r="AB114">
        <v>15.8</v>
      </c>
      <c r="AC114">
        <v>8.4</v>
      </c>
      <c r="AD114">
        <v>10.3</v>
      </c>
      <c r="AE114">
        <v>6.7</v>
      </c>
      <c r="AF114">
        <v>26.5</v>
      </c>
      <c r="AG114">
        <v>4686</v>
      </c>
      <c r="AH114">
        <v>284</v>
      </c>
      <c r="AI114">
        <v>243</v>
      </c>
      <c r="AJ114">
        <v>363</v>
      </c>
      <c r="AK114">
        <v>340</v>
      </c>
      <c r="AL114">
        <v>224</v>
      </c>
      <c r="AM114">
        <v>121</v>
      </c>
      <c r="AN114">
        <v>300</v>
      </c>
      <c r="AO114">
        <v>343</v>
      </c>
      <c r="AP114">
        <v>238</v>
      </c>
      <c r="AQ114">
        <v>296</v>
      </c>
      <c r="AR114">
        <v>459</v>
      </c>
      <c r="AS114">
        <v>295</v>
      </c>
      <c r="AT114">
        <v>386</v>
      </c>
      <c r="AU114">
        <v>164</v>
      </c>
      <c r="AV114">
        <v>219</v>
      </c>
      <c r="AW114">
        <v>219</v>
      </c>
      <c r="AX114">
        <v>62</v>
      </c>
      <c r="AY114">
        <v>130</v>
      </c>
      <c r="AZ114">
        <v>43.6</v>
      </c>
      <c r="BA114">
        <v>114.3</v>
      </c>
      <c r="BB114">
        <v>7.8868464999999999</v>
      </c>
      <c r="BC114">
        <v>5.9622798000000001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f t="shared" si="4"/>
        <v>5.0413000892360325</v>
      </c>
      <c r="BK114" s="10">
        <f t="shared" si="5"/>
        <v>1.0797935688765383E-2</v>
      </c>
      <c r="BL114">
        <f t="shared" si="6"/>
        <v>564</v>
      </c>
      <c r="BM114">
        <f t="shared" si="7"/>
        <v>1</v>
      </c>
      <c r="BQ114">
        <v>539</v>
      </c>
      <c r="BR114">
        <v>5.0413000892360325</v>
      </c>
      <c r="BS114">
        <v>564</v>
      </c>
      <c r="BT114">
        <v>-71.220146</v>
      </c>
      <c r="BU114">
        <v>10.225650999999999</v>
      </c>
      <c r="BV114">
        <v>7.8868464999999999</v>
      </c>
    </row>
    <row r="115" spans="1:74" x14ac:dyDescent="0.2">
      <c r="A115" t="s">
        <v>218</v>
      </c>
      <c r="B115">
        <v>5680</v>
      </c>
      <c r="C115">
        <v>42.360878</v>
      </c>
      <c r="D115">
        <v>-71.133049</v>
      </c>
      <c r="E115">
        <v>61.75</v>
      </c>
      <c r="F115">
        <v>726</v>
      </c>
      <c r="G115">
        <v>30.380568</v>
      </c>
      <c r="H115">
        <v>1.01</v>
      </c>
      <c r="I115">
        <v>10</v>
      </c>
      <c r="J115" t="s">
        <v>65</v>
      </c>
      <c r="K115" t="s">
        <v>66</v>
      </c>
      <c r="L115">
        <v>0.91657071999999995</v>
      </c>
      <c r="M115">
        <v>0</v>
      </c>
      <c r="N115">
        <v>1055</v>
      </c>
      <c r="O115">
        <v>52.7</v>
      </c>
      <c r="P115">
        <v>43.8</v>
      </c>
      <c r="Q115">
        <v>8.9</v>
      </c>
      <c r="R115">
        <v>23.8</v>
      </c>
      <c r="S115">
        <v>5.7</v>
      </c>
      <c r="T115">
        <v>9.1999999999999993</v>
      </c>
      <c r="U115">
        <v>0.4</v>
      </c>
      <c r="V115">
        <v>8.1999999999999993</v>
      </c>
      <c r="W115">
        <v>3.4</v>
      </c>
      <c r="X115">
        <v>11.1</v>
      </c>
      <c r="Y115">
        <v>11.9</v>
      </c>
      <c r="Z115">
        <v>4.3</v>
      </c>
      <c r="AA115">
        <v>12.5</v>
      </c>
      <c r="AB115">
        <v>16.5</v>
      </c>
      <c r="AC115">
        <v>16.2</v>
      </c>
      <c r="AD115">
        <v>13.2</v>
      </c>
      <c r="AE115">
        <v>10.8</v>
      </c>
      <c r="AF115">
        <v>32.799999999999997</v>
      </c>
      <c r="AG115">
        <v>1666</v>
      </c>
      <c r="AH115">
        <v>13</v>
      </c>
      <c r="AI115">
        <v>62</v>
      </c>
      <c r="AJ115">
        <v>75</v>
      </c>
      <c r="AK115">
        <v>80</v>
      </c>
      <c r="AL115">
        <v>333</v>
      </c>
      <c r="AM115">
        <v>387</v>
      </c>
      <c r="AN115">
        <v>263</v>
      </c>
      <c r="AO115">
        <v>92</v>
      </c>
      <c r="AP115">
        <v>84</v>
      </c>
      <c r="AQ115">
        <v>121</v>
      </c>
      <c r="AR115">
        <v>27</v>
      </c>
      <c r="AS115">
        <v>33</v>
      </c>
      <c r="AT115">
        <v>25</v>
      </c>
      <c r="AU115">
        <v>71</v>
      </c>
      <c r="AV115">
        <v>0</v>
      </c>
      <c r="AW115">
        <v>0</v>
      </c>
      <c r="AX115">
        <v>0</v>
      </c>
      <c r="AY115">
        <v>0</v>
      </c>
      <c r="AZ115">
        <v>28.5</v>
      </c>
      <c r="BA115">
        <v>115.5</v>
      </c>
      <c r="BB115">
        <v>3.4620907000000001</v>
      </c>
      <c r="BC115">
        <v>2.1242716000000001</v>
      </c>
      <c r="BD115">
        <v>1</v>
      </c>
      <c r="BE115">
        <v>0</v>
      </c>
      <c r="BF115">
        <v>2</v>
      </c>
      <c r="BG115">
        <v>7</v>
      </c>
      <c r="BH115">
        <v>5651</v>
      </c>
      <c r="BI115">
        <v>6372.2860000000001</v>
      </c>
      <c r="BJ115">
        <f t="shared" si="4"/>
        <v>1.3400017939460749</v>
      </c>
      <c r="BK115" s="10">
        <f t="shared" si="5"/>
        <v>7.7725118483412316E-3</v>
      </c>
      <c r="BL115">
        <f t="shared" si="6"/>
        <v>413</v>
      </c>
      <c r="BM115">
        <f t="shared" si="7"/>
        <v>1</v>
      </c>
      <c r="BQ115">
        <v>5680</v>
      </c>
      <c r="BR115">
        <v>1.3400017939460749</v>
      </c>
      <c r="BS115">
        <v>413</v>
      </c>
      <c r="BT115">
        <v>-71.133049</v>
      </c>
      <c r="BU115">
        <v>30.380568</v>
      </c>
      <c r="BV115">
        <v>3.4620907000000001</v>
      </c>
    </row>
    <row r="116" spans="1:74" x14ac:dyDescent="0.2">
      <c r="A116" t="s">
        <v>219</v>
      </c>
      <c r="B116">
        <v>5308</v>
      </c>
      <c r="C116">
        <v>42.359081000000003</v>
      </c>
      <c r="D116">
        <v>-71.143990000000002</v>
      </c>
      <c r="E116">
        <v>263.75</v>
      </c>
      <c r="F116">
        <v>1695</v>
      </c>
      <c r="G116">
        <v>14.081516000000001</v>
      </c>
      <c r="H116">
        <v>1.02</v>
      </c>
      <c r="I116">
        <v>10</v>
      </c>
      <c r="J116" t="s">
        <v>88</v>
      </c>
      <c r="K116" t="s">
        <v>66</v>
      </c>
      <c r="L116">
        <v>0.96340692000000006</v>
      </c>
      <c r="M116">
        <v>0</v>
      </c>
      <c r="N116">
        <v>2526</v>
      </c>
      <c r="O116">
        <v>57.5</v>
      </c>
      <c r="P116">
        <v>54.6</v>
      </c>
      <c r="Q116">
        <v>2.9</v>
      </c>
      <c r="R116">
        <v>22.5</v>
      </c>
      <c r="S116">
        <v>4.2</v>
      </c>
      <c r="T116">
        <v>2.7</v>
      </c>
      <c r="U116">
        <v>0</v>
      </c>
      <c r="V116">
        <v>13</v>
      </c>
      <c r="W116">
        <v>3.1</v>
      </c>
      <c r="X116">
        <v>9.4</v>
      </c>
      <c r="Y116">
        <v>23.9</v>
      </c>
      <c r="Z116">
        <v>9.5</v>
      </c>
      <c r="AA116">
        <v>5.8</v>
      </c>
      <c r="AB116">
        <v>17.5</v>
      </c>
      <c r="AC116">
        <v>15.8</v>
      </c>
      <c r="AD116">
        <v>10.4</v>
      </c>
      <c r="AE116">
        <v>4.5999999999999996</v>
      </c>
      <c r="AF116">
        <v>26.9</v>
      </c>
      <c r="AG116">
        <v>4023</v>
      </c>
      <c r="AH116">
        <v>112</v>
      </c>
      <c r="AI116">
        <v>86</v>
      </c>
      <c r="AJ116">
        <v>94</v>
      </c>
      <c r="AK116">
        <v>276</v>
      </c>
      <c r="AL116">
        <v>305</v>
      </c>
      <c r="AM116">
        <v>1072</v>
      </c>
      <c r="AN116">
        <v>550</v>
      </c>
      <c r="AO116">
        <v>289</v>
      </c>
      <c r="AP116">
        <v>19</v>
      </c>
      <c r="AQ116">
        <v>148</v>
      </c>
      <c r="AR116">
        <v>323</v>
      </c>
      <c r="AS116">
        <v>67</v>
      </c>
      <c r="AT116">
        <v>104</v>
      </c>
      <c r="AU116">
        <v>80</v>
      </c>
      <c r="AV116">
        <v>289</v>
      </c>
      <c r="AW116">
        <v>114</v>
      </c>
      <c r="AX116">
        <v>32</v>
      </c>
      <c r="AY116">
        <v>63</v>
      </c>
      <c r="AZ116">
        <v>31.6</v>
      </c>
      <c r="BA116">
        <v>64.8</v>
      </c>
      <c r="BB116">
        <v>4.0071211</v>
      </c>
      <c r="BC116">
        <v>2.4530702</v>
      </c>
      <c r="BD116">
        <v>1</v>
      </c>
      <c r="BE116">
        <v>0</v>
      </c>
      <c r="BF116">
        <v>0</v>
      </c>
      <c r="BG116">
        <v>4</v>
      </c>
      <c r="BH116">
        <v>0</v>
      </c>
      <c r="BI116">
        <v>5391.5</v>
      </c>
      <c r="BJ116">
        <f t="shared" si="4"/>
        <v>1.7418627778768094</v>
      </c>
      <c r="BK116" s="10">
        <f t="shared" si="5"/>
        <v>5.1464766429136976E-3</v>
      </c>
      <c r="BL116">
        <f t="shared" si="6"/>
        <v>581</v>
      </c>
      <c r="BM116">
        <f t="shared" si="7"/>
        <v>1</v>
      </c>
      <c r="BQ116">
        <v>5308</v>
      </c>
      <c r="BR116">
        <v>1.7418627778768094</v>
      </c>
      <c r="BS116">
        <v>581</v>
      </c>
      <c r="BT116">
        <v>-71.143990000000002</v>
      </c>
      <c r="BU116">
        <v>14.081516000000001</v>
      </c>
      <c r="BV116">
        <v>4.0071211</v>
      </c>
    </row>
    <row r="117" spans="1:74" x14ac:dyDescent="0.2">
      <c r="A117" t="s">
        <v>220</v>
      </c>
      <c r="B117">
        <v>6496</v>
      </c>
      <c r="C117">
        <v>42.305191000000001</v>
      </c>
      <c r="D117">
        <v>-71.108345</v>
      </c>
      <c r="E117">
        <v>176.22</v>
      </c>
      <c r="F117">
        <v>2241</v>
      </c>
      <c r="G117">
        <v>24.741800000000001</v>
      </c>
      <c r="H117">
        <v>1202.01</v>
      </c>
      <c r="I117">
        <v>10</v>
      </c>
      <c r="J117" t="s">
        <v>111</v>
      </c>
      <c r="K117" t="s">
        <v>69</v>
      </c>
      <c r="L117">
        <v>0.25835845000000002</v>
      </c>
      <c r="M117">
        <v>0</v>
      </c>
      <c r="N117">
        <v>3042</v>
      </c>
      <c r="O117">
        <v>36.200000000000003</v>
      </c>
      <c r="P117">
        <v>34</v>
      </c>
      <c r="Q117">
        <v>2.2000000000000002</v>
      </c>
      <c r="R117">
        <v>26</v>
      </c>
      <c r="S117">
        <v>1.8</v>
      </c>
      <c r="T117">
        <v>7</v>
      </c>
      <c r="U117">
        <v>0</v>
      </c>
      <c r="V117">
        <v>28.9</v>
      </c>
      <c r="W117">
        <v>1.8</v>
      </c>
      <c r="X117">
        <v>8.6999999999999993</v>
      </c>
      <c r="Y117">
        <v>12.8</v>
      </c>
      <c r="Z117">
        <v>10.4</v>
      </c>
      <c r="AA117">
        <v>11.7</v>
      </c>
      <c r="AB117">
        <v>23.2</v>
      </c>
      <c r="AC117">
        <v>22.6</v>
      </c>
      <c r="AD117">
        <v>3.9</v>
      </c>
      <c r="AE117">
        <v>4.9000000000000004</v>
      </c>
      <c r="AF117">
        <v>28.8</v>
      </c>
      <c r="AG117">
        <v>4511</v>
      </c>
      <c r="AH117">
        <v>384</v>
      </c>
      <c r="AI117">
        <v>116</v>
      </c>
      <c r="AJ117">
        <v>161</v>
      </c>
      <c r="AK117">
        <v>72</v>
      </c>
      <c r="AL117">
        <v>127</v>
      </c>
      <c r="AM117">
        <v>865</v>
      </c>
      <c r="AN117">
        <v>1073</v>
      </c>
      <c r="AO117">
        <v>378</v>
      </c>
      <c r="AP117">
        <v>396</v>
      </c>
      <c r="AQ117">
        <v>216</v>
      </c>
      <c r="AR117">
        <v>201</v>
      </c>
      <c r="AS117">
        <v>112</v>
      </c>
      <c r="AT117">
        <v>119</v>
      </c>
      <c r="AU117">
        <v>171</v>
      </c>
      <c r="AV117">
        <v>74</v>
      </c>
      <c r="AW117">
        <v>31</v>
      </c>
      <c r="AX117">
        <v>15</v>
      </c>
      <c r="AY117">
        <v>0</v>
      </c>
      <c r="AZ117">
        <v>32.9</v>
      </c>
      <c r="BA117">
        <v>100</v>
      </c>
      <c r="BB117">
        <v>4.0790110000000004</v>
      </c>
      <c r="BC117">
        <v>2.2612667000000002</v>
      </c>
      <c r="BD117">
        <v>1</v>
      </c>
      <c r="BE117">
        <v>0</v>
      </c>
      <c r="BF117">
        <v>0</v>
      </c>
      <c r="BG117">
        <v>3</v>
      </c>
      <c r="BH117">
        <v>0</v>
      </c>
      <c r="BI117">
        <v>4834</v>
      </c>
      <c r="BJ117">
        <f t="shared" si="4"/>
        <v>2.6876163136029803</v>
      </c>
      <c r="BK117" s="10">
        <f t="shared" si="5"/>
        <v>9.5003287310979605E-3</v>
      </c>
      <c r="BL117">
        <f t="shared" si="6"/>
        <v>199</v>
      </c>
      <c r="BM117">
        <f t="shared" si="7"/>
        <v>0</v>
      </c>
      <c r="BQ117">
        <v>6496</v>
      </c>
      <c r="BR117">
        <v>2.6876163136029803</v>
      </c>
      <c r="BS117">
        <v>199</v>
      </c>
      <c r="BT117">
        <v>-71.108345</v>
      </c>
      <c r="BU117">
        <v>24.741800000000001</v>
      </c>
      <c r="BV117">
        <v>4.0790110000000004</v>
      </c>
    </row>
    <row r="118" spans="1:74" x14ac:dyDescent="0.2">
      <c r="C118">
        <f>CORREL($B$2:$B$117,C2:C117)</f>
        <v>0.32483677865556865</v>
      </c>
      <c r="D118">
        <f t="shared" ref="D118:BM118" si="8">CORREL($B$2:$B$117,D2:D117)</f>
        <v>0.5200358759481597</v>
      </c>
      <c r="E118">
        <f t="shared" si="8"/>
        <v>-0.44916523385274115</v>
      </c>
      <c r="F118">
        <f t="shared" si="8"/>
        <v>-0.12116124763791924</v>
      </c>
      <c r="G118">
        <f t="shared" si="8"/>
        <v>0.62703720656230977</v>
      </c>
      <c r="H118">
        <f t="shared" si="8"/>
        <v>-0.33471501354132815</v>
      </c>
      <c r="I118">
        <f t="shared" si="8"/>
        <v>-0.35456348326967246</v>
      </c>
      <c r="L118">
        <f t="shared" si="8"/>
        <v>-0.50436074057014302</v>
      </c>
      <c r="M118">
        <f t="shared" si="8"/>
        <v>0.42945374222661098</v>
      </c>
      <c r="N118">
        <f t="shared" si="8"/>
        <v>-0.11535644998399423</v>
      </c>
      <c r="O118">
        <f t="shared" si="8"/>
        <v>-0.68671962875153536</v>
      </c>
      <c r="P118">
        <f t="shared" si="8"/>
        <v>-0.67220734893256162</v>
      </c>
      <c r="Q118">
        <f t="shared" si="8"/>
        <v>-0.34966946516862624</v>
      </c>
      <c r="R118">
        <f t="shared" si="8"/>
        <v>7.4494732468929166E-3</v>
      </c>
      <c r="S118">
        <f t="shared" si="8"/>
        <v>0.72198345407403208</v>
      </c>
      <c r="T118">
        <f t="shared" si="8"/>
        <v>8.7297455441405422E-2</v>
      </c>
      <c r="U118">
        <f t="shared" si="8"/>
        <v>0.13450179606906212</v>
      </c>
      <c r="V118">
        <f t="shared" si="8"/>
        <v>-0.23908004726865975</v>
      </c>
      <c r="W118">
        <f t="shared" si="8"/>
        <v>0.4721762236646973</v>
      </c>
      <c r="X118">
        <f t="shared" si="8"/>
        <v>0.36888726418895301</v>
      </c>
      <c r="Y118">
        <f t="shared" si="8"/>
        <v>0.22406506291810974</v>
      </c>
      <c r="Z118">
        <f t="shared" si="8"/>
        <v>-1.775251887008706E-2</v>
      </c>
      <c r="AA118">
        <f t="shared" si="8"/>
        <v>-0.21664498491519027</v>
      </c>
      <c r="AB118">
        <f t="shared" si="8"/>
        <v>-0.24539032242969736</v>
      </c>
      <c r="AC118">
        <f t="shared" si="8"/>
        <v>-0.20579656689070272</v>
      </c>
      <c r="AD118">
        <f t="shared" si="8"/>
        <v>-0.3296323098283816</v>
      </c>
      <c r="AE118">
        <f t="shared" si="8"/>
        <v>-0.33969496311218755</v>
      </c>
      <c r="AF118">
        <f t="shared" si="8"/>
        <v>-0.42768032134189843</v>
      </c>
      <c r="AG118">
        <f t="shared" si="8"/>
        <v>3.84530473948047E-2</v>
      </c>
      <c r="AH118">
        <f t="shared" si="8"/>
        <v>-0.40489679520036836</v>
      </c>
      <c r="AI118">
        <f t="shared" si="8"/>
        <v>-0.44057171014407037</v>
      </c>
      <c r="AJ118">
        <f t="shared" si="8"/>
        <v>-0.41787246467742412</v>
      </c>
      <c r="AK118">
        <f t="shared" si="8"/>
        <v>0.50679967578253782</v>
      </c>
      <c r="AL118">
        <f t="shared" si="8"/>
        <v>0.64258608006372764</v>
      </c>
      <c r="AM118">
        <f t="shared" si="8"/>
        <v>6.6191096736685662E-2</v>
      </c>
      <c r="AN118">
        <f t="shared" si="8"/>
        <v>-0.13312524237502871</v>
      </c>
      <c r="AO118">
        <f t="shared" si="8"/>
        <v>-0.28668642319704152</v>
      </c>
      <c r="AP118">
        <f t="shared" si="8"/>
        <v>-0.42019174575188556</v>
      </c>
      <c r="AQ118">
        <f t="shared" si="8"/>
        <v>-0.50043015251372758</v>
      </c>
      <c r="AR118">
        <f t="shared" si="8"/>
        <v>-0.34347822887622942</v>
      </c>
      <c r="AS118">
        <f t="shared" si="8"/>
        <v>-0.44894003977503394</v>
      </c>
      <c r="AT118">
        <f t="shared" si="8"/>
        <v>-0.35857084797026689</v>
      </c>
      <c r="AU118">
        <f t="shared" si="8"/>
        <v>-0.44499934291500937</v>
      </c>
      <c r="AV118">
        <f t="shared" si="8"/>
        <v>-0.38359409869422151</v>
      </c>
      <c r="AW118">
        <f t="shared" si="8"/>
        <v>-0.35840505292607117</v>
      </c>
      <c r="AX118">
        <f t="shared" si="8"/>
        <v>-0.11453440168508958</v>
      </c>
      <c r="AY118">
        <f t="shared" si="8"/>
        <v>-0.24060306475531304</v>
      </c>
      <c r="AZ118">
        <f t="shared" si="8"/>
        <v>-0.62520158198615428</v>
      </c>
      <c r="BA118">
        <f t="shared" si="8"/>
        <v>-0.1776346630868135</v>
      </c>
      <c r="BB118">
        <f t="shared" si="8"/>
        <v>-0.69416917994748895</v>
      </c>
      <c r="BC118">
        <f t="shared" si="8"/>
        <v>-0.6501992952432728</v>
      </c>
      <c r="BD118">
        <f t="shared" si="8"/>
        <v>0.23593366559740961</v>
      </c>
      <c r="BE118">
        <f t="shared" si="8"/>
        <v>-0.35492361537845352</v>
      </c>
      <c r="BF118">
        <f t="shared" si="8"/>
        <v>0.55879854122019146</v>
      </c>
      <c r="BG118">
        <f t="shared" si="8"/>
        <v>0.65681887750786905</v>
      </c>
      <c r="BH118">
        <f t="shared" si="8"/>
        <v>0.5223852739236613</v>
      </c>
      <c r="BI118">
        <f t="shared" si="8"/>
        <v>0.6635358800618385</v>
      </c>
      <c r="BJ118">
        <f t="shared" si="8"/>
        <v>-0.67447849885665734</v>
      </c>
      <c r="BK118">
        <f t="shared" si="8"/>
        <v>-4.5745496579949738E-2</v>
      </c>
      <c r="BL118">
        <f t="shared" si="8"/>
        <v>0.58919220551303764</v>
      </c>
      <c r="BM118">
        <f t="shared" si="8"/>
        <v>0.32875667621088533</v>
      </c>
    </row>
    <row r="124" spans="1:74" x14ac:dyDescent="0.2">
      <c r="A124" t="s">
        <v>262</v>
      </c>
    </row>
    <row r="125" spans="1:74" x14ac:dyDescent="0.2">
      <c r="A125" s="9" t="s">
        <v>106</v>
      </c>
      <c r="B125" s="9">
        <v>1579</v>
      </c>
      <c r="C125" s="9">
        <v>42.298879999999997</v>
      </c>
      <c r="D125" s="9">
        <v>-71.1267</v>
      </c>
      <c r="E125" s="9">
        <v>281.42</v>
      </c>
      <c r="F125" s="9">
        <v>4</v>
      </c>
      <c r="G125" s="9">
        <v>3.9086999999999997E-2</v>
      </c>
      <c r="H125" s="9">
        <v>9810</v>
      </c>
      <c r="I125" s="9">
        <v>10</v>
      </c>
      <c r="J125" s="9" t="s">
        <v>68</v>
      </c>
      <c r="K125" s="9" t="s">
        <v>69</v>
      </c>
      <c r="L125" s="9">
        <v>0.67832700000000001</v>
      </c>
      <c r="M125" s="9">
        <v>0</v>
      </c>
      <c r="N125" s="9">
        <v>30</v>
      </c>
      <c r="O125" s="9">
        <v>53.3</v>
      </c>
      <c r="P125" s="9">
        <v>53.3</v>
      </c>
      <c r="Q125" s="9">
        <v>0</v>
      </c>
      <c r="R125" s="9">
        <v>46.7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53.3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46.7</v>
      </c>
      <c r="AF125" s="9"/>
      <c r="AG125" s="9">
        <v>30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30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/>
      <c r="BA125" s="9">
        <v>114.3</v>
      </c>
      <c r="BB125" s="9">
        <v>4.9803179999999996</v>
      </c>
      <c r="BC125" s="9">
        <v>2.9025629999999998</v>
      </c>
      <c r="BD125" s="9">
        <v>1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Q125" s="9">
        <v>1579</v>
      </c>
      <c r="BR125" s="9"/>
      <c r="BT125" s="9"/>
      <c r="BU125" s="9">
        <v>3.9086999999999997E-2</v>
      </c>
      <c r="BV125" s="9">
        <v>4.9803179999999996</v>
      </c>
    </row>
    <row r="126" spans="1:74" x14ac:dyDescent="0.2">
      <c r="A126" t="s">
        <v>163</v>
      </c>
      <c r="B126">
        <v>1659</v>
      </c>
      <c r="C126">
        <v>42.323124</v>
      </c>
      <c r="D126">
        <v>-71.116989000000004</v>
      </c>
      <c r="E126">
        <v>268.42000999999999</v>
      </c>
      <c r="F126">
        <v>10</v>
      </c>
      <c r="G126">
        <v>8.5686609999999996E-2</v>
      </c>
      <c r="H126">
        <v>9818</v>
      </c>
      <c r="I126">
        <v>10</v>
      </c>
      <c r="J126" t="s">
        <v>157</v>
      </c>
      <c r="K126" t="s">
        <v>94</v>
      </c>
      <c r="L126">
        <v>0.59189159000000002</v>
      </c>
      <c r="M126">
        <v>0</v>
      </c>
      <c r="N126">
        <v>11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100</v>
      </c>
      <c r="AG126">
        <v>21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11</v>
      </c>
      <c r="AV126">
        <v>0</v>
      </c>
      <c r="AW126">
        <v>10</v>
      </c>
      <c r="AX126">
        <v>0</v>
      </c>
      <c r="AY126">
        <v>0</v>
      </c>
      <c r="AZ126">
        <v>68</v>
      </c>
      <c r="BA126">
        <v>425</v>
      </c>
      <c r="BB126">
        <v>3.4270246000000002</v>
      </c>
      <c r="BC126">
        <v>1.1747892</v>
      </c>
      <c r="BD126">
        <v>1</v>
      </c>
      <c r="BE126">
        <v>0</v>
      </c>
      <c r="BF126">
        <v>0</v>
      </c>
      <c r="BG126">
        <v>2</v>
      </c>
      <c r="BH126">
        <v>0</v>
      </c>
      <c r="BI126">
        <v>7546.5</v>
      </c>
      <c r="BQ126">
        <v>1659</v>
      </c>
      <c r="BU126">
        <v>8.5686609999999996E-2</v>
      </c>
      <c r="BV126">
        <v>3.4270246000000002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5611-C8FE-48E3-858A-543795913675}">
  <dimension ref="A1:B66"/>
  <sheetViews>
    <sheetView topLeftCell="A53" workbookViewId="0">
      <selection activeCell="C64" sqref="C64"/>
    </sheetView>
  </sheetViews>
  <sheetFormatPr baseColWidth="10" defaultColWidth="8.83203125" defaultRowHeight="15" x14ac:dyDescent="0.2"/>
  <cols>
    <col min="1" max="1" width="32.1640625" customWidth="1"/>
    <col min="2" max="2" width="74.5" bestFit="1" customWidth="1"/>
  </cols>
  <sheetData>
    <row r="1" spans="1:2" x14ac:dyDescent="0.2">
      <c r="A1" s="3" t="s">
        <v>221</v>
      </c>
      <c r="B1" s="3"/>
    </row>
    <row r="2" spans="1:2" x14ac:dyDescent="0.2">
      <c r="A2" s="3" t="s">
        <v>222</v>
      </c>
      <c r="B2" s="3"/>
    </row>
    <row r="4" spans="1:2" x14ac:dyDescent="0.2">
      <c r="A4" s="7" t="s">
        <v>223</v>
      </c>
      <c r="B4" s="7" t="s">
        <v>224</v>
      </c>
    </row>
    <row r="5" spans="1:2" x14ac:dyDescent="0.2">
      <c r="A5" s="4" t="s">
        <v>0</v>
      </c>
      <c r="B5" s="3" t="s">
        <v>225</v>
      </c>
    </row>
    <row r="6" spans="1:2" x14ac:dyDescent="0.2">
      <c r="A6" s="4" t="s">
        <v>1</v>
      </c>
      <c r="B6" s="3" t="s">
        <v>226</v>
      </c>
    </row>
    <row r="7" spans="1:2" x14ac:dyDescent="0.2">
      <c r="A7" s="4" t="s">
        <v>2</v>
      </c>
      <c r="B7" s="3" t="s">
        <v>227</v>
      </c>
    </row>
    <row r="8" spans="1:2" x14ac:dyDescent="0.2">
      <c r="A8" s="4" t="s">
        <v>3</v>
      </c>
      <c r="B8" s="3" t="s">
        <v>228</v>
      </c>
    </row>
    <row r="9" spans="1:2" x14ac:dyDescent="0.2">
      <c r="A9" s="4" t="s">
        <v>4</v>
      </c>
      <c r="B9" s="5" t="s">
        <v>229</v>
      </c>
    </row>
    <row r="10" spans="1:2" x14ac:dyDescent="0.2">
      <c r="A10" s="4" t="s">
        <v>5</v>
      </c>
      <c r="B10" s="5" t="s">
        <v>230</v>
      </c>
    </row>
    <row r="11" spans="1:2" x14ac:dyDescent="0.2">
      <c r="A11" s="4" t="s">
        <v>231</v>
      </c>
      <c r="B11" s="3" t="s">
        <v>232</v>
      </c>
    </row>
    <row r="12" spans="1:2" x14ac:dyDescent="0.2">
      <c r="A12" s="4" t="s">
        <v>233</v>
      </c>
      <c r="B12" s="5" t="s">
        <v>234</v>
      </c>
    </row>
    <row r="13" spans="1:2" x14ac:dyDescent="0.2">
      <c r="A13" s="4" t="s">
        <v>8</v>
      </c>
      <c r="B13" s="5" t="s">
        <v>235</v>
      </c>
    </row>
    <row r="14" spans="1:2" x14ac:dyDescent="0.2">
      <c r="A14" s="4" t="s">
        <v>236</v>
      </c>
      <c r="B14" s="5" t="s">
        <v>237</v>
      </c>
    </row>
    <row r="15" spans="1:2" x14ac:dyDescent="0.2">
      <c r="A15" s="4" t="s">
        <v>238</v>
      </c>
      <c r="B15" s="5" t="s">
        <v>239</v>
      </c>
    </row>
    <row r="16" spans="1:2" x14ac:dyDescent="0.2">
      <c r="A16" s="6" t="s">
        <v>11</v>
      </c>
      <c r="B16" s="5" t="s">
        <v>240</v>
      </c>
    </row>
    <row r="17" spans="1:2" x14ac:dyDescent="0.2">
      <c r="A17" s="6" t="s">
        <v>12</v>
      </c>
      <c r="B17" s="5" t="s">
        <v>241</v>
      </c>
    </row>
    <row r="18" spans="1:2" x14ac:dyDescent="0.2">
      <c r="A18" s="4" t="s">
        <v>13</v>
      </c>
      <c r="B18" s="5" t="s">
        <v>242</v>
      </c>
    </row>
    <row r="19" spans="1:2" x14ac:dyDescent="0.2">
      <c r="A19" s="4" t="s">
        <v>243</v>
      </c>
      <c r="B19" s="5" t="s">
        <v>244</v>
      </c>
    </row>
    <row r="20" spans="1:2" x14ac:dyDescent="0.2">
      <c r="A20" s="4" t="s">
        <v>33</v>
      </c>
      <c r="B20" s="5" t="s">
        <v>245</v>
      </c>
    </row>
    <row r="21" spans="1:2" x14ac:dyDescent="0.2">
      <c r="A21" s="4" t="s">
        <v>34</v>
      </c>
      <c r="B21" s="5" t="s">
        <v>245</v>
      </c>
    </row>
    <row r="22" spans="1:2" x14ac:dyDescent="0.2">
      <c r="A22" s="4" t="s">
        <v>35</v>
      </c>
      <c r="B22" s="5" t="s">
        <v>245</v>
      </c>
    </row>
    <row r="23" spans="1:2" x14ac:dyDescent="0.2">
      <c r="A23" s="8" t="s">
        <v>36</v>
      </c>
      <c r="B23" s="5" t="s">
        <v>245</v>
      </c>
    </row>
    <row r="24" spans="1:2" x14ac:dyDescent="0.2">
      <c r="A24" s="8" t="s">
        <v>37</v>
      </c>
      <c r="B24" s="5" t="s">
        <v>245</v>
      </c>
    </row>
    <row r="25" spans="1:2" x14ac:dyDescent="0.2">
      <c r="A25" s="8" t="s">
        <v>38</v>
      </c>
      <c r="B25" s="5" t="s">
        <v>245</v>
      </c>
    </row>
    <row r="26" spans="1:2" x14ac:dyDescent="0.2">
      <c r="A26" s="8" t="s">
        <v>39</v>
      </c>
      <c r="B26" s="5" t="s">
        <v>245</v>
      </c>
    </row>
    <row r="27" spans="1:2" x14ac:dyDescent="0.2">
      <c r="A27" s="8" t="s">
        <v>40</v>
      </c>
      <c r="B27" s="5" t="s">
        <v>245</v>
      </c>
    </row>
    <row r="28" spans="1:2" x14ac:dyDescent="0.2">
      <c r="A28" s="8" t="s">
        <v>41</v>
      </c>
      <c r="B28" s="5" t="s">
        <v>245</v>
      </c>
    </row>
    <row r="29" spans="1:2" x14ac:dyDescent="0.2">
      <c r="A29" s="8" t="s">
        <v>42</v>
      </c>
      <c r="B29" s="5" t="s">
        <v>245</v>
      </c>
    </row>
    <row r="30" spans="1:2" x14ac:dyDescent="0.2">
      <c r="A30" s="8" t="s">
        <v>43</v>
      </c>
      <c r="B30" s="5" t="s">
        <v>245</v>
      </c>
    </row>
    <row r="31" spans="1:2" x14ac:dyDescent="0.2">
      <c r="A31" s="8" t="s">
        <v>44</v>
      </c>
      <c r="B31" s="5" t="s">
        <v>245</v>
      </c>
    </row>
    <row r="32" spans="1:2" x14ac:dyDescent="0.2">
      <c r="A32" s="8" t="s">
        <v>45</v>
      </c>
      <c r="B32" s="5" t="s">
        <v>245</v>
      </c>
    </row>
    <row r="33" spans="1:2" x14ac:dyDescent="0.2">
      <c r="A33" s="8" t="s">
        <v>46</v>
      </c>
      <c r="B33" s="5" t="s">
        <v>245</v>
      </c>
    </row>
    <row r="34" spans="1:2" x14ac:dyDescent="0.2">
      <c r="A34" s="8" t="s">
        <v>47</v>
      </c>
      <c r="B34" s="5" t="s">
        <v>245</v>
      </c>
    </row>
    <row r="35" spans="1:2" x14ac:dyDescent="0.2">
      <c r="A35" s="8" t="s">
        <v>48</v>
      </c>
      <c r="B35" s="5" t="s">
        <v>245</v>
      </c>
    </row>
    <row r="36" spans="1:2" x14ac:dyDescent="0.2">
      <c r="A36" s="8" t="s">
        <v>49</v>
      </c>
      <c r="B36" s="5" t="s">
        <v>245</v>
      </c>
    </row>
    <row r="37" spans="1:2" x14ac:dyDescent="0.2">
      <c r="A37" s="8" t="s">
        <v>50</v>
      </c>
      <c r="B37" s="5" t="s">
        <v>245</v>
      </c>
    </row>
    <row r="38" spans="1:2" x14ac:dyDescent="0.2">
      <c r="A38" s="8" t="s">
        <v>246</v>
      </c>
      <c r="B38" s="5" t="s">
        <v>247</v>
      </c>
    </row>
    <row r="39" spans="1:2" x14ac:dyDescent="0.2">
      <c r="A39" s="8" t="s">
        <v>248</v>
      </c>
      <c r="B39" s="5" t="s">
        <v>249</v>
      </c>
    </row>
    <row r="40" spans="1:2" x14ac:dyDescent="0.2">
      <c r="A40" s="8" t="s">
        <v>13</v>
      </c>
      <c r="B40" s="5" t="s">
        <v>250</v>
      </c>
    </row>
    <row r="41" spans="1:2" x14ac:dyDescent="0.2">
      <c r="A41" s="8" t="s">
        <v>14</v>
      </c>
      <c r="B41" s="5" t="s">
        <v>251</v>
      </c>
    </row>
    <row r="42" spans="1:2" x14ac:dyDescent="0.2">
      <c r="A42" s="8" t="s">
        <v>15</v>
      </c>
      <c r="B42" s="5" t="s">
        <v>251</v>
      </c>
    </row>
    <row r="43" spans="1:2" x14ac:dyDescent="0.2">
      <c r="A43" s="8" t="s">
        <v>16</v>
      </c>
      <c r="B43" s="5" t="s">
        <v>251</v>
      </c>
    </row>
    <row r="44" spans="1:2" x14ac:dyDescent="0.2">
      <c r="A44" s="8" t="s">
        <v>17</v>
      </c>
      <c r="B44" s="5" t="s">
        <v>251</v>
      </c>
    </row>
    <row r="45" spans="1:2" x14ac:dyDescent="0.2">
      <c r="A45" s="8" t="s">
        <v>18</v>
      </c>
      <c r="B45" s="5" t="s">
        <v>251</v>
      </c>
    </row>
    <row r="46" spans="1:2" x14ac:dyDescent="0.2">
      <c r="A46" s="8" t="s">
        <v>19</v>
      </c>
      <c r="B46" s="5" t="s">
        <v>251</v>
      </c>
    </row>
    <row r="47" spans="1:2" x14ac:dyDescent="0.2">
      <c r="A47" s="8" t="s">
        <v>20</v>
      </c>
      <c r="B47" s="5" t="s">
        <v>251</v>
      </c>
    </row>
    <row r="48" spans="1:2" x14ac:dyDescent="0.2">
      <c r="A48" s="8" t="s">
        <v>21</v>
      </c>
      <c r="B48" s="5" t="s">
        <v>251</v>
      </c>
    </row>
    <row r="49" spans="1:2" x14ac:dyDescent="0.2">
      <c r="A49" s="8" t="s">
        <v>53</v>
      </c>
      <c r="B49" s="5" t="s">
        <v>252</v>
      </c>
    </row>
    <row r="50" spans="1:2" x14ac:dyDescent="0.2">
      <c r="A50" s="8" t="s">
        <v>54</v>
      </c>
      <c r="B50" s="5" t="s">
        <v>253</v>
      </c>
    </row>
    <row r="51" spans="1:2" x14ac:dyDescent="0.2">
      <c r="A51" s="8" t="s">
        <v>55</v>
      </c>
      <c r="B51" s="5" t="s">
        <v>254</v>
      </c>
    </row>
    <row r="52" spans="1:2" x14ac:dyDescent="0.2">
      <c r="A52" s="8" t="s">
        <v>56</v>
      </c>
      <c r="B52" s="5" t="s">
        <v>255</v>
      </c>
    </row>
    <row r="53" spans="1:2" x14ac:dyDescent="0.2">
      <c r="A53" s="8" t="s">
        <v>22</v>
      </c>
      <c r="B53" s="5" t="s">
        <v>256</v>
      </c>
    </row>
    <row r="54" spans="1:2" x14ac:dyDescent="0.2">
      <c r="A54" s="8" t="s">
        <v>23</v>
      </c>
      <c r="B54" s="5" t="s">
        <v>256</v>
      </c>
    </row>
    <row r="55" spans="1:2" x14ac:dyDescent="0.2">
      <c r="A55" s="8" t="s">
        <v>24</v>
      </c>
      <c r="B55" s="5" t="s">
        <v>256</v>
      </c>
    </row>
    <row r="56" spans="1:2" x14ac:dyDescent="0.2">
      <c r="A56" s="8" t="s">
        <v>25</v>
      </c>
      <c r="B56" s="5" t="s">
        <v>256</v>
      </c>
    </row>
    <row r="57" spans="1:2" x14ac:dyDescent="0.2">
      <c r="A57" s="8" t="s">
        <v>26</v>
      </c>
      <c r="B57" s="5" t="s">
        <v>256</v>
      </c>
    </row>
    <row r="58" spans="1:2" x14ac:dyDescent="0.2">
      <c r="A58" s="8" t="s">
        <v>27</v>
      </c>
      <c r="B58" s="5" t="s">
        <v>256</v>
      </c>
    </row>
    <row r="59" spans="1:2" x14ac:dyDescent="0.2">
      <c r="A59" s="8" t="s">
        <v>28</v>
      </c>
      <c r="B59" s="5" t="s">
        <v>256</v>
      </c>
    </row>
    <row r="60" spans="1:2" x14ac:dyDescent="0.2">
      <c r="A60" s="8" t="s">
        <v>29</v>
      </c>
      <c r="B60" s="5" t="s">
        <v>256</v>
      </c>
    </row>
    <row r="61" spans="1:2" x14ac:dyDescent="0.2">
      <c r="A61" s="4" t="s">
        <v>30</v>
      </c>
      <c r="B61" s="5" t="s">
        <v>256</v>
      </c>
    </row>
    <row r="62" spans="1:2" x14ac:dyDescent="0.2">
      <c r="A62" s="4" t="s">
        <v>31</v>
      </c>
      <c r="B62" s="5" t="s">
        <v>257</v>
      </c>
    </row>
    <row r="63" spans="1:2" x14ac:dyDescent="0.2">
      <c r="A63" s="1" t="s">
        <v>57</v>
      </c>
      <c r="B63" s="5" t="s">
        <v>258</v>
      </c>
    </row>
    <row r="64" spans="1:2" x14ac:dyDescent="0.2">
      <c r="A64" s="1" t="s">
        <v>58</v>
      </c>
      <c r="B64" s="5" t="s">
        <v>259</v>
      </c>
    </row>
    <row r="65" spans="1:2" x14ac:dyDescent="0.2">
      <c r="A65" s="1" t="s">
        <v>59</v>
      </c>
      <c r="B65" s="5" t="s">
        <v>260</v>
      </c>
    </row>
    <row r="66" spans="1:2" x14ac:dyDescent="0.2">
      <c r="A66" s="1" t="s">
        <v>60</v>
      </c>
      <c r="B66" s="5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Regression 1</vt:lpstr>
      <vt:lpstr>Regression 2</vt:lpstr>
      <vt:lpstr>Regression 3</vt:lpstr>
      <vt:lpstr>Regression 4</vt:lpstr>
      <vt:lpstr>Regression 5</vt:lpstr>
      <vt:lpstr>Regression 6!</vt:lpstr>
      <vt:lpstr>Summary Statistics</vt:lpstr>
      <vt:lpstr>More Summary Statistics</vt:lpstr>
      <vt:lpstr>trips_multi_regression_post2</vt:lpstr>
      <vt:lpstr>variable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Coleman, Oliver</cp:lastModifiedBy>
  <dcterms:created xsi:type="dcterms:W3CDTF">2025-11-26T00:12:55Z</dcterms:created>
  <dcterms:modified xsi:type="dcterms:W3CDTF">2025-12-04T18:30:22Z</dcterms:modified>
</cp:coreProperties>
</file>